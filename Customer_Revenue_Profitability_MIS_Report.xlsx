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\"/>
    </mc:Choice>
  </mc:AlternateContent>
  <xr:revisionPtr revIDLastSave="0" documentId="13_ncr:1_{1AC42182-732C-443F-A71F-B5E529F750A0}" xr6:coauthVersionLast="47" xr6:coauthVersionMax="47" xr10:uidLastSave="{00000000-0000-0000-0000-000000000000}"/>
  <bookViews>
    <workbookView xWindow="0" yWindow="360" windowWidth="23256" windowHeight="12456" xr2:uid="{12411B16-14EC-4396-8E9A-95FAFB2F4CE5}"/>
  </bookViews>
  <sheets>
    <sheet name="raw_data" sheetId="1" r:id="rId1"/>
    <sheet name="MIS_KPI_Summary" sheetId="2" r:id="rId2"/>
  </sheets>
  <definedNames>
    <definedName name="_xlnm._FilterDatabase" localSheetId="0" hidden="1">raw_data!$A$1:$J$1001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6" i="2" s="1"/>
  <c r="C4" i="2"/>
  <c r="C5" i="2"/>
  <c r="F169" i="2"/>
  <c r="F170" i="2"/>
  <c r="F171" i="2"/>
  <c r="F168" i="2"/>
  <c r="C2" i="2"/>
  <c r="C7" i="2" s="1"/>
</calcChain>
</file>

<file path=xl/sharedStrings.xml><?xml version="1.0" encoding="utf-8"?>
<sst xmlns="http://schemas.openxmlformats.org/spreadsheetml/2006/main" count="5149" uniqueCount="1246">
  <si>
    <t>order_id</t>
  </si>
  <si>
    <t>customer_id</t>
  </si>
  <si>
    <t>region</t>
  </si>
  <si>
    <t>order_date</t>
  </si>
  <si>
    <t>order_month</t>
  </si>
  <si>
    <t>product_category</t>
  </si>
  <si>
    <t>sales</t>
  </si>
  <si>
    <t>cost_price</t>
  </si>
  <si>
    <t>profit</t>
  </si>
  <si>
    <t>profit_margin</t>
  </si>
  <si>
    <t>O0001</t>
  </si>
  <si>
    <t>C200</t>
  </si>
  <si>
    <t>West</t>
  </si>
  <si>
    <t>2024-10</t>
  </si>
  <si>
    <t>Grocery</t>
  </si>
  <si>
    <t>O0002</t>
  </si>
  <si>
    <t>C113</t>
  </si>
  <si>
    <t>South</t>
  </si>
  <si>
    <t>2024-03</t>
  </si>
  <si>
    <t>Furniture</t>
  </si>
  <si>
    <t>O0003</t>
  </si>
  <si>
    <t>C039</t>
  </si>
  <si>
    <t>O0004</t>
  </si>
  <si>
    <t>C158</t>
  </si>
  <si>
    <t>2024-09</t>
  </si>
  <si>
    <t>O0005</t>
  </si>
  <si>
    <t>C112</t>
  </si>
  <si>
    <t>2024-04</t>
  </si>
  <si>
    <t>Clothing</t>
  </si>
  <si>
    <t>O0006</t>
  </si>
  <si>
    <t>C050</t>
  </si>
  <si>
    <t>2024-07</t>
  </si>
  <si>
    <t>Electronics</t>
  </si>
  <si>
    <t>O0007</t>
  </si>
  <si>
    <t>C160</t>
  </si>
  <si>
    <t>O0008</t>
  </si>
  <si>
    <t>C121</t>
  </si>
  <si>
    <t>2024-05</t>
  </si>
  <si>
    <t>O0009</t>
  </si>
  <si>
    <t>C183</t>
  </si>
  <si>
    <t>North</t>
  </si>
  <si>
    <t>2024-06</t>
  </si>
  <si>
    <t>O0010</t>
  </si>
  <si>
    <t>C123</t>
  </si>
  <si>
    <t>2024-01</t>
  </si>
  <si>
    <t>O0011</t>
  </si>
  <si>
    <t>C048</t>
  </si>
  <si>
    <t>2024-08</t>
  </si>
  <si>
    <t>O0012</t>
  </si>
  <si>
    <t>2024-02</t>
  </si>
  <si>
    <t>O0013</t>
  </si>
  <si>
    <t>O0014</t>
  </si>
  <si>
    <t>C108</t>
  </si>
  <si>
    <t>O0015</t>
  </si>
  <si>
    <t>C155</t>
  </si>
  <si>
    <t>O0016</t>
  </si>
  <si>
    <t>C117</t>
  </si>
  <si>
    <t>2024-11</t>
  </si>
  <si>
    <t>O0017</t>
  </si>
  <si>
    <t>C167</t>
  </si>
  <si>
    <t>O0018</t>
  </si>
  <si>
    <t>C196</t>
  </si>
  <si>
    <t>O0019</t>
  </si>
  <si>
    <t>C127</t>
  </si>
  <si>
    <t>East</t>
  </si>
  <si>
    <t>O0020</t>
  </si>
  <si>
    <t>C036</t>
  </si>
  <si>
    <t>O0021</t>
  </si>
  <si>
    <t>C030</t>
  </si>
  <si>
    <t>O0022</t>
  </si>
  <si>
    <t>C083</t>
  </si>
  <si>
    <t>O0023</t>
  </si>
  <si>
    <t>C114</t>
  </si>
  <si>
    <t>O0024</t>
  </si>
  <si>
    <t>C109</t>
  </si>
  <si>
    <t>O0025</t>
  </si>
  <si>
    <t>C054</t>
  </si>
  <si>
    <t>O0026</t>
  </si>
  <si>
    <t>C115</t>
  </si>
  <si>
    <t>O0027</t>
  </si>
  <si>
    <t>C006</t>
  </si>
  <si>
    <t>O0028</t>
  </si>
  <si>
    <t>C069</t>
  </si>
  <si>
    <t>O0029</t>
  </si>
  <si>
    <t>C137</t>
  </si>
  <si>
    <t>O0030</t>
  </si>
  <si>
    <t>C064</t>
  </si>
  <si>
    <t>O0031</t>
  </si>
  <si>
    <t>C017</t>
  </si>
  <si>
    <t>O0032</t>
  </si>
  <si>
    <t>C018</t>
  </si>
  <si>
    <t>O0033</t>
  </si>
  <si>
    <t>C128</t>
  </si>
  <si>
    <t>O0034</t>
  </si>
  <si>
    <t>C125</t>
  </si>
  <si>
    <t>2024-12</t>
  </si>
  <si>
    <t>O0035</t>
  </si>
  <si>
    <t>C085</t>
  </si>
  <si>
    <t>O0036</t>
  </si>
  <si>
    <t>C058</t>
  </si>
  <si>
    <t>O0037</t>
  </si>
  <si>
    <t>C145</t>
  </si>
  <si>
    <t>O0038</t>
  </si>
  <si>
    <t>C062</t>
  </si>
  <si>
    <t>O0039</t>
  </si>
  <si>
    <t>C022</t>
  </si>
  <si>
    <t>O0040</t>
  </si>
  <si>
    <t>C013</t>
  </si>
  <si>
    <t>O0041</t>
  </si>
  <si>
    <t>C150</t>
  </si>
  <si>
    <t>O0042</t>
  </si>
  <si>
    <t>C106</t>
  </si>
  <si>
    <t>O0043</t>
  </si>
  <si>
    <t>C003</t>
  </si>
  <si>
    <t>O0044</t>
  </si>
  <si>
    <t>C028</t>
  </si>
  <si>
    <t>O0045</t>
  </si>
  <si>
    <t>C001</t>
  </si>
  <si>
    <t>O0046</t>
  </si>
  <si>
    <t>C141</t>
  </si>
  <si>
    <t>O0047</t>
  </si>
  <si>
    <t>O0048</t>
  </si>
  <si>
    <t>C195</t>
  </si>
  <si>
    <t>O0049</t>
  </si>
  <si>
    <t>C010</t>
  </si>
  <si>
    <t>O0050</t>
  </si>
  <si>
    <t>C082</t>
  </si>
  <si>
    <t>O0051</t>
  </si>
  <si>
    <t>C040</t>
  </si>
  <si>
    <t>O0052</t>
  </si>
  <si>
    <t>C124</t>
  </si>
  <si>
    <t>O0053</t>
  </si>
  <si>
    <t>C118</t>
  </si>
  <si>
    <t>O0054</t>
  </si>
  <si>
    <t>C070</t>
  </si>
  <si>
    <t>O0055</t>
  </si>
  <si>
    <t>C138</t>
  </si>
  <si>
    <t>O0056</t>
  </si>
  <si>
    <t>O0057</t>
  </si>
  <si>
    <t>C182</t>
  </si>
  <si>
    <t>O0058</t>
  </si>
  <si>
    <t>C164</t>
  </si>
  <si>
    <t>O0059</t>
  </si>
  <si>
    <t>C002</t>
  </si>
  <si>
    <t>O0060</t>
  </si>
  <si>
    <t>C080</t>
  </si>
  <si>
    <t>O0061</t>
  </si>
  <si>
    <t>O0062</t>
  </si>
  <si>
    <t>C193</t>
  </si>
  <si>
    <t>O0063</t>
  </si>
  <si>
    <t>C063</t>
  </si>
  <si>
    <t>O0064</t>
  </si>
  <si>
    <t>C169</t>
  </si>
  <si>
    <t>O0065</t>
  </si>
  <si>
    <t>O0066</t>
  </si>
  <si>
    <t>C008</t>
  </si>
  <si>
    <t>O0067</t>
  </si>
  <si>
    <t>C119</t>
  </si>
  <si>
    <t>O0068</t>
  </si>
  <si>
    <t>C088</t>
  </si>
  <si>
    <t>O0069</t>
  </si>
  <si>
    <t>O0070</t>
  </si>
  <si>
    <t>O0071</t>
  </si>
  <si>
    <t>C007</t>
  </si>
  <si>
    <t>O0072</t>
  </si>
  <si>
    <t>C179</t>
  </si>
  <si>
    <t>O0073</t>
  </si>
  <si>
    <t>C149</t>
  </si>
  <si>
    <t>O0074</t>
  </si>
  <si>
    <t>O0075</t>
  </si>
  <si>
    <t>C187</t>
  </si>
  <si>
    <t>O0076</t>
  </si>
  <si>
    <t>C074</t>
  </si>
  <si>
    <t>O0077</t>
  </si>
  <si>
    <t>C047</t>
  </si>
  <si>
    <t>O0078</t>
  </si>
  <si>
    <t>O0079</t>
  </si>
  <si>
    <t>C103</t>
  </si>
  <si>
    <t>O0080</t>
  </si>
  <si>
    <t>C059</t>
  </si>
  <si>
    <t>O0081</t>
  </si>
  <si>
    <t>O0082</t>
  </si>
  <si>
    <t>C151</t>
  </si>
  <si>
    <t>O0083</t>
  </si>
  <si>
    <t>O0084</t>
  </si>
  <si>
    <t>O0085</t>
  </si>
  <si>
    <t>C038</t>
  </si>
  <si>
    <t>O0086</t>
  </si>
  <si>
    <t>C027</t>
  </si>
  <si>
    <t>O0087</t>
  </si>
  <si>
    <t>O0088</t>
  </si>
  <si>
    <t>C161</t>
  </si>
  <si>
    <t>O0089</t>
  </si>
  <si>
    <t>C051</t>
  </si>
  <si>
    <t>O0090</t>
  </si>
  <si>
    <t>C165</t>
  </si>
  <si>
    <t>O0091</t>
  </si>
  <si>
    <t>O0092</t>
  </si>
  <si>
    <t>C066</t>
  </si>
  <si>
    <t>O0093</t>
  </si>
  <si>
    <t>O0094</t>
  </si>
  <si>
    <t>O0095</t>
  </si>
  <si>
    <t>C097</t>
  </si>
  <si>
    <t>O0096</t>
  </si>
  <si>
    <t>C025</t>
  </si>
  <si>
    <t>O0097</t>
  </si>
  <si>
    <t>C055</t>
  </si>
  <si>
    <t>O0098</t>
  </si>
  <si>
    <t>C148</t>
  </si>
  <si>
    <t>O0099</t>
  </si>
  <si>
    <t>C009</t>
  </si>
  <si>
    <t>O0100</t>
  </si>
  <si>
    <t>C184</t>
  </si>
  <si>
    <t>O0101</t>
  </si>
  <si>
    <t>O0102</t>
  </si>
  <si>
    <t>C172</t>
  </si>
  <si>
    <t>O0103</t>
  </si>
  <si>
    <t>C159</t>
  </si>
  <si>
    <t>O0104</t>
  </si>
  <si>
    <t>O0105</t>
  </si>
  <si>
    <t>O0106</t>
  </si>
  <si>
    <t>C084</t>
  </si>
  <si>
    <t>O0107</t>
  </si>
  <si>
    <t>C086</t>
  </si>
  <si>
    <t>O0108</t>
  </si>
  <si>
    <t>C147</t>
  </si>
  <si>
    <t>O0109</t>
  </si>
  <si>
    <t>O0110</t>
  </si>
  <si>
    <t>O0111</t>
  </si>
  <si>
    <t>O0112</t>
  </si>
  <si>
    <t>O0113</t>
  </si>
  <si>
    <t>C173</t>
  </si>
  <si>
    <t>O0114</t>
  </si>
  <si>
    <t>C181</t>
  </si>
  <si>
    <t>O0115</t>
  </si>
  <si>
    <t>C186</t>
  </si>
  <si>
    <t>O0116</t>
  </si>
  <si>
    <t>C089</t>
  </si>
  <si>
    <t>O0117</t>
  </si>
  <si>
    <t>O0118</t>
  </si>
  <si>
    <t>C020</t>
  </si>
  <si>
    <t>O0119</t>
  </si>
  <si>
    <t>O0120</t>
  </si>
  <si>
    <t>C171</t>
  </si>
  <si>
    <t>O0121</t>
  </si>
  <si>
    <t>C143</t>
  </si>
  <si>
    <t>O0122</t>
  </si>
  <si>
    <t>C043</t>
  </si>
  <si>
    <t>O0123</t>
  </si>
  <si>
    <t>C024</t>
  </si>
  <si>
    <t>O0124</t>
  </si>
  <si>
    <t>O0125</t>
  </si>
  <si>
    <t>O0126</t>
  </si>
  <si>
    <t>O0127</t>
  </si>
  <si>
    <t>O0128</t>
  </si>
  <si>
    <t>C105</t>
  </si>
  <si>
    <t>O0129</t>
  </si>
  <si>
    <t>C192</t>
  </si>
  <si>
    <t>O0130</t>
  </si>
  <si>
    <t>C154</t>
  </si>
  <si>
    <t>O0131</t>
  </si>
  <si>
    <t>C129</t>
  </si>
  <si>
    <t>O0132</t>
  </si>
  <si>
    <t>C067</t>
  </si>
  <si>
    <t>O0133</t>
  </si>
  <si>
    <t>O0134</t>
  </si>
  <si>
    <t>C044</t>
  </si>
  <si>
    <t>O0135</t>
  </si>
  <si>
    <t>C107</t>
  </si>
  <si>
    <t>O0136</t>
  </si>
  <si>
    <t>C139</t>
  </si>
  <si>
    <t>O0137</t>
  </si>
  <si>
    <t>O0138</t>
  </si>
  <si>
    <t>O0139</t>
  </si>
  <si>
    <t>C178</t>
  </si>
  <si>
    <t>O0140</t>
  </si>
  <si>
    <t>C012</t>
  </si>
  <si>
    <t>O0141</t>
  </si>
  <si>
    <t>C102</t>
  </si>
  <si>
    <t>O0142</t>
  </si>
  <si>
    <t>O0143</t>
  </si>
  <si>
    <t>O0144</t>
  </si>
  <si>
    <t>C015</t>
  </si>
  <si>
    <t>O0145</t>
  </si>
  <si>
    <t>O0146</t>
  </si>
  <si>
    <t>C142</t>
  </si>
  <si>
    <t>O0147</t>
  </si>
  <si>
    <t>O0148</t>
  </si>
  <si>
    <t>C194</t>
  </si>
  <si>
    <t>O0149</t>
  </si>
  <si>
    <t>O0150</t>
  </si>
  <si>
    <t>C092</t>
  </si>
  <si>
    <t>O0151</t>
  </si>
  <si>
    <t>O0152</t>
  </si>
  <si>
    <t>O0153</t>
  </si>
  <si>
    <t>O0154</t>
  </si>
  <si>
    <t>O0155</t>
  </si>
  <si>
    <t>C016</t>
  </si>
  <si>
    <t>O0156</t>
  </si>
  <si>
    <t>O0157</t>
  </si>
  <si>
    <t>C094</t>
  </si>
  <si>
    <t>O0158</t>
  </si>
  <si>
    <t>O0159</t>
  </si>
  <si>
    <t>O0160</t>
  </si>
  <si>
    <t>C045</t>
  </si>
  <si>
    <t>O0161</t>
  </si>
  <si>
    <t>C005</t>
  </si>
  <si>
    <t>O0162</t>
  </si>
  <si>
    <t>O0163</t>
  </si>
  <si>
    <t>C120</t>
  </si>
  <si>
    <t>O0164</t>
  </si>
  <si>
    <t>C191</t>
  </si>
  <si>
    <t>O0165</t>
  </si>
  <si>
    <t>O0166</t>
  </si>
  <si>
    <t>O0167</t>
  </si>
  <si>
    <t>O0168</t>
  </si>
  <si>
    <t>C099</t>
  </si>
  <si>
    <t>O0169</t>
  </si>
  <si>
    <t>O0170</t>
  </si>
  <si>
    <t>O0171</t>
  </si>
  <si>
    <t>O0172</t>
  </si>
  <si>
    <t>C198</t>
  </si>
  <si>
    <t>O0173</t>
  </si>
  <si>
    <t>O0174</t>
  </si>
  <si>
    <t>O0175</t>
  </si>
  <si>
    <t>O0176</t>
  </si>
  <si>
    <t>C035</t>
  </si>
  <si>
    <t>O0177</t>
  </si>
  <si>
    <t>C174</t>
  </si>
  <si>
    <t>O0178</t>
  </si>
  <si>
    <t>O0179</t>
  </si>
  <si>
    <t>C197</t>
  </si>
  <si>
    <t>O0180</t>
  </si>
  <si>
    <t>O0181</t>
  </si>
  <si>
    <t>C163</t>
  </si>
  <si>
    <t>O0182</t>
  </si>
  <si>
    <t>C122</t>
  </si>
  <si>
    <t>O0183</t>
  </si>
  <si>
    <t>O0184</t>
  </si>
  <si>
    <t>C037</t>
  </si>
  <si>
    <t>O0185</t>
  </si>
  <si>
    <t>O0186</t>
  </si>
  <si>
    <t>O0187</t>
  </si>
  <si>
    <t>O0188</t>
  </si>
  <si>
    <t>C093</t>
  </si>
  <si>
    <t>O0189</t>
  </si>
  <si>
    <t>O0190</t>
  </si>
  <si>
    <t>O0191</t>
  </si>
  <si>
    <t>O0192</t>
  </si>
  <si>
    <t>C111</t>
  </si>
  <si>
    <t>O0193</t>
  </si>
  <si>
    <t>C091</t>
  </si>
  <si>
    <t>O0194</t>
  </si>
  <si>
    <t>O0195</t>
  </si>
  <si>
    <t>C156</t>
  </si>
  <si>
    <t>O0196</t>
  </si>
  <si>
    <t>C170</t>
  </si>
  <si>
    <t>O0197</t>
  </si>
  <si>
    <t>O0198</t>
  </si>
  <si>
    <t>O0199</t>
  </si>
  <si>
    <t>C199</t>
  </si>
  <si>
    <t>O0200</t>
  </si>
  <si>
    <t>O0201</t>
  </si>
  <si>
    <t>C176</t>
  </si>
  <si>
    <t>O0202</t>
  </si>
  <si>
    <t>O0203</t>
  </si>
  <si>
    <t>O0204</t>
  </si>
  <si>
    <t>C095</t>
  </si>
  <si>
    <t>O0205</t>
  </si>
  <si>
    <t>O0206</t>
  </si>
  <si>
    <t>O0207</t>
  </si>
  <si>
    <t>O0208</t>
  </si>
  <si>
    <t>O0209</t>
  </si>
  <si>
    <t>O0210</t>
  </si>
  <si>
    <t>C060</t>
  </si>
  <si>
    <t>O0211</t>
  </si>
  <si>
    <t>O0212</t>
  </si>
  <si>
    <t>C061</t>
  </si>
  <si>
    <t>O0213</t>
  </si>
  <si>
    <t>O0214</t>
  </si>
  <si>
    <t>C133</t>
  </si>
  <si>
    <t>O0215</t>
  </si>
  <si>
    <t>C185</t>
  </si>
  <si>
    <t>O0216</t>
  </si>
  <si>
    <t>O0217</t>
  </si>
  <si>
    <t>O0218</t>
  </si>
  <si>
    <t>O0219</t>
  </si>
  <si>
    <t>C077</t>
  </si>
  <si>
    <t>O0220</t>
  </si>
  <si>
    <t>C189</t>
  </si>
  <si>
    <t>O0221</t>
  </si>
  <si>
    <t>O0222</t>
  </si>
  <si>
    <t>O0223</t>
  </si>
  <si>
    <t>C014</t>
  </si>
  <si>
    <t>O0224</t>
  </si>
  <si>
    <t>O0225</t>
  </si>
  <si>
    <t>C079</t>
  </si>
  <si>
    <t>O0226</t>
  </si>
  <si>
    <t>O0227</t>
  </si>
  <si>
    <t>O0228</t>
  </si>
  <si>
    <t>O0229</t>
  </si>
  <si>
    <t>O0230</t>
  </si>
  <si>
    <t>C053</t>
  </si>
  <si>
    <t>O0231</t>
  </si>
  <si>
    <t>O0232</t>
  </si>
  <si>
    <t>O0233</t>
  </si>
  <si>
    <t>C177</t>
  </si>
  <si>
    <t>O0234</t>
  </si>
  <si>
    <t>O0235</t>
  </si>
  <si>
    <t>O0236</t>
  </si>
  <si>
    <t>O0237</t>
  </si>
  <si>
    <t>O0238</t>
  </si>
  <si>
    <t>C168</t>
  </si>
  <si>
    <t>O0239</t>
  </si>
  <si>
    <t>O0240</t>
  </si>
  <si>
    <t>C110</t>
  </si>
  <si>
    <t>O0241</t>
  </si>
  <si>
    <t>C152</t>
  </si>
  <si>
    <t>O0242</t>
  </si>
  <si>
    <t>C049</t>
  </si>
  <si>
    <t>O0243</t>
  </si>
  <si>
    <t>O0244</t>
  </si>
  <si>
    <t>O0245</t>
  </si>
  <si>
    <t>O0246</t>
  </si>
  <si>
    <t>C153</t>
  </si>
  <si>
    <t>O0247</t>
  </si>
  <si>
    <t>C166</t>
  </si>
  <si>
    <t>O0248</t>
  </si>
  <si>
    <t>C019</t>
  </si>
  <si>
    <t>O0249</t>
  </si>
  <si>
    <t>O0250</t>
  </si>
  <si>
    <t>O0251</t>
  </si>
  <si>
    <t>C134</t>
  </si>
  <si>
    <t>O0252</t>
  </si>
  <si>
    <t>O0253</t>
  </si>
  <si>
    <t>C042</t>
  </si>
  <si>
    <t>O0254</t>
  </si>
  <si>
    <t>O0255</t>
  </si>
  <si>
    <t>C146</t>
  </si>
  <si>
    <t>O0256</t>
  </si>
  <si>
    <t>O0257</t>
  </si>
  <si>
    <t>C131</t>
  </si>
  <si>
    <t>O0258</t>
  </si>
  <si>
    <t>O0259</t>
  </si>
  <si>
    <t>O0260</t>
  </si>
  <si>
    <t>O0261</t>
  </si>
  <si>
    <t>C140</t>
  </si>
  <si>
    <t>O0262</t>
  </si>
  <si>
    <t>C101</t>
  </si>
  <si>
    <t>O0263</t>
  </si>
  <si>
    <t>O0264</t>
  </si>
  <si>
    <t>O0265</t>
  </si>
  <si>
    <t>O0266</t>
  </si>
  <si>
    <t>C068</t>
  </si>
  <si>
    <t>O0267</t>
  </si>
  <si>
    <t>O0268</t>
  </si>
  <si>
    <t>O0269</t>
  </si>
  <si>
    <t>O0270</t>
  </si>
  <si>
    <t>O0271</t>
  </si>
  <si>
    <t>C078</t>
  </si>
  <si>
    <t>O0272</t>
  </si>
  <si>
    <t>O0273</t>
  </si>
  <si>
    <t>O0274</t>
  </si>
  <si>
    <t>O0275</t>
  </si>
  <si>
    <t>O0276</t>
  </si>
  <si>
    <t>O0277</t>
  </si>
  <si>
    <t>C075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</si>
  <si>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</si>
  <si>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</si>
  <si>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</si>
  <si>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</si>
  <si>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</si>
  <si>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</si>
  <si>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</si>
  <si>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</si>
  <si>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</si>
  <si>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</si>
  <si>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</si>
  <si>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C116</t>
  </si>
  <si>
    <t>O0289</t>
  </si>
  <si>
    <t>O0290</t>
  </si>
  <si>
    <t>C130</t>
  </si>
  <si>
    <t>O0291</t>
  </si>
  <si>
    <t>O0292</t>
  </si>
  <si>
    <t>O0293</t>
  </si>
  <si>
    <t>O0294</t>
  </si>
  <si>
    <t>C175</t>
  </si>
  <si>
    <t>O0295</t>
  </si>
  <si>
    <t>O0296</t>
  </si>
  <si>
    <t>C033</t>
  </si>
  <si>
    <t>O0297</t>
  </si>
  <si>
    <t>O0298</t>
  </si>
  <si>
    <t>O0299</t>
  </si>
  <si>
    <t>O0300</t>
  </si>
  <si>
    <t>O0301</t>
  </si>
  <si>
    <t>O0302</t>
  </si>
  <si>
    <t>O0303</t>
  </si>
  <si>
    <t>C135</t>
  </si>
  <si>
    <t>O0304</t>
  </si>
  <si>
    <t>O0305</t>
  </si>
  <si>
    <t>O0306</t>
  </si>
  <si>
    <t>C104</t>
  </si>
  <si>
    <t>O0307</t>
  </si>
  <si>
    <t>C157</t>
  </si>
  <si>
    <t>O0308</t>
  </si>
  <si>
    <t>C144</t>
  </si>
  <si>
    <t>O0309</t>
  </si>
  <si>
    <t>O0310</t>
  </si>
  <si>
    <t>O0311</t>
  </si>
  <si>
    <t>O0312</t>
  </si>
  <si>
    <t>C081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</si>
  <si>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</si>
  <si>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</si>
  <si>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</si>
  <si>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</si>
  <si>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</si>
  <si>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</si>
  <si>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</si>
  <si>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</si>
  <si>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</si>
  <si>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</si>
  <si>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</si>
  <si>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</si>
  <si>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C098</t>
  </si>
  <si>
    <t>O0325</t>
  </si>
  <si>
    <t>O0326</t>
  </si>
  <si>
    <t>O0327</t>
  </si>
  <si>
    <t>O0328</t>
  </si>
  <si>
    <t>C023</t>
  </si>
  <si>
    <t>O0329</t>
  </si>
  <si>
    <t>O0330</t>
  </si>
  <si>
    <t>O0331</t>
  </si>
  <si>
    <t>C076</t>
  </si>
  <si>
    <t>O0332</t>
  </si>
  <si>
    <t>O0333</t>
  </si>
  <si>
    <t>O0334</t>
  </si>
  <si>
    <t>O0335</t>
  </si>
  <si>
    <t>O0336</t>
  </si>
  <si>
    <t>O0337</t>
  </si>
  <si>
    <t>C096</t>
  </si>
  <si>
    <t>O0338</t>
  </si>
  <si>
    <t>O0339</t>
  </si>
  <si>
    <t>O0340</t>
  </si>
  <si>
    <t>O0341</t>
  </si>
  <si>
    <t>O0342</t>
  </si>
  <si>
    <t>C021</t>
  </si>
  <si>
    <t>O0343</t>
  </si>
  <si>
    <t>O0344</t>
  </si>
  <si>
    <t>O0345</t>
  </si>
  <si>
    <t>O0346</t>
  </si>
  <si>
    <t>C136</t>
  </si>
  <si>
    <t>O0347</t>
  </si>
  <si>
    <t>O0348</t>
  </si>
  <si>
    <t>O0349</t>
  </si>
  <si>
    <t>O0350</t>
  </si>
  <si>
    <t>O0351</t>
  </si>
  <si>
    <t>O0352</t>
  </si>
  <si>
    <t>C126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</si>
  <si>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</si>
  <si>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</si>
  <si>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</si>
  <si>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</si>
  <si>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</si>
  <si>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</si>
  <si>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</si>
  <si>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</si>
  <si>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</si>
  <si>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</si>
  <si>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C046</t>
  </si>
  <si>
    <t>O0363</t>
  </si>
  <si>
    <t>O0364</t>
  </si>
  <si>
    <t>O0365</t>
  </si>
  <si>
    <t>C029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</si>
  <si>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</si>
  <si>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</si>
  <si>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</si>
  <si>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</si>
  <si>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</si>
  <si>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</si>
  <si>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</si>
  <si>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</si>
  <si>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C190</t>
  </si>
  <si>
    <t>O0374</t>
  </si>
  <si>
    <t>C052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</si>
  <si>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</si>
  <si>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</si>
  <si>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</si>
  <si>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</si>
  <si>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</si>
  <si>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</si>
  <si>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</si>
  <si>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</si>
  <si>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</si>
  <si>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</si>
  <si>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</si>
  <si>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</si>
  <si>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</si>
  <si>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</si>
  <si>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</si>
  <si>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</si>
  <si>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</si>
  <si>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</si>
  <si>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</si>
  <si>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</si>
  <si>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</si>
  <si>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</si>
  <si>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</si>
  <si>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</si>
  <si>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</si>
  <si>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C132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</si>
  <si>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</si>
  <si>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</si>
  <si>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</si>
  <si>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</si>
  <si>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</si>
  <si>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</si>
  <si>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</si>
  <si>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</si>
  <si>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</si>
  <si>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C057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</si>
  <si>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</si>
  <si>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</si>
  <si>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</si>
  <si>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</si>
  <si>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</si>
  <si>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</si>
  <si>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</si>
  <si>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</si>
  <si>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</si>
  <si>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</si>
  <si>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</si>
  <si>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</si>
  <si>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</si>
  <si>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</si>
  <si>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</si>
  <si>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</si>
  <si>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</si>
  <si>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</si>
  <si>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</si>
  <si>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</si>
  <si>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</si>
  <si>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</si>
  <si>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</si>
  <si>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</si>
  <si>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</si>
  <si>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</si>
  <si>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</si>
  <si>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</si>
  <si>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</si>
  <si>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</si>
  <si>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</si>
  <si>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</si>
  <si>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</si>
  <si>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</si>
  <si>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</si>
  <si>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C011</t>
  </si>
  <si>
    <t>O0444</t>
  </si>
  <si>
    <t>C071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</si>
  <si>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</si>
  <si>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</si>
  <si>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</si>
  <si>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</si>
  <si>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</si>
  <si>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</si>
  <si>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</si>
  <si>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</si>
  <si>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</si>
  <si>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</si>
  <si>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</si>
  <si>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</si>
  <si>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</si>
  <si>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</si>
  <si>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C100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</si>
  <si>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</si>
  <si>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</si>
  <si>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</si>
  <si>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</si>
  <si>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</si>
  <si>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</si>
  <si>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</si>
  <si>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</si>
  <si>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</si>
  <si>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</si>
  <si>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C056</t>
  </si>
  <si>
    <t>O0469</t>
  </si>
  <si>
    <t>O0470</t>
  </si>
  <si>
    <t>O0471</t>
  </si>
  <si>
    <t>O0472</t>
  </si>
  <si>
    <t>O0473</t>
  </si>
  <si>
    <t>O0474</t>
  </si>
  <si>
    <t>C090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</si>
  <si>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</si>
  <si>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</si>
  <si>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</si>
  <si>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</si>
  <si>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</si>
  <si>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</si>
  <si>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</si>
  <si>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</si>
  <si>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</si>
  <si>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</si>
  <si>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</si>
  <si>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</si>
  <si>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</si>
  <si>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</si>
  <si>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</si>
  <si>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</si>
  <si>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</si>
  <si>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</si>
  <si>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</si>
  <si>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</si>
  <si>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</si>
  <si>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</si>
  <si>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C026</t>
  </si>
  <si>
    <t>O0497</t>
  </si>
  <si>
    <t>O0498</t>
  </si>
  <si>
    <t>O0499</t>
  </si>
  <si>
    <t>O0500</t>
  </si>
  <si>
    <t>O0501</t>
  </si>
  <si>
    <t>O0502</t>
  </si>
  <si>
    <t>C041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</si>
  <si>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</si>
  <si>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</si>
  <si>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</si>
  <si>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</si>
  <si>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</si>
  <si>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</si>
  <si>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</si>
  <si>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</si>
  <si>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</si>
  <si>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</si>
  <si>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</si>
  <si>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</si>
  <si>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</si>
  <si>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</si>
  <si>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</si>
  <si>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</si>
  <si>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</si>
  <si>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</si>
  <si>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</si>
  <si>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</si>
  <si>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</si>
  <si>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C162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</si>
  <si>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</si>
  <si>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</si>
  <si>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</si>
  <si>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</si>
  <si>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</si>
  <si>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</si>
  <si>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</si>
  <si>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</si>
  <si>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</si>
  <si>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</si>
  <si>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</si>
  <si>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</si>
  <si>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</si>
  <si>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</si>
  <si>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</si>
  <si>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</si>
  <si>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</si>
  <si>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</si>
  <si>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C034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</si>
  <si>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</si>
  <si>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</si>
  <si>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</si>
  <si>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</si>
  <si>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</si>
  <si>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</si>
  <si>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</si>
  <si>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</si>
  <si>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</si>
  <si>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</si>
  <si>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C180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</si>
  <si>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</si>
  <si>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</si>
  <si>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</si>
  <si>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</si>
  <si>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</si>
  <si>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</si>
  <si>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</si>
  <si>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</si>
  <si>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</si>
  <si>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</si>
  <si>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</si>
  <si>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</si>
  <si>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</si>
  <si>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</si>
  <si>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</si>
  <si>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</si>
  <si>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</si>
  <si>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</si>
  <si>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</si>
  <si>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</si>
  <si>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</si>
  <si>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</si>
  <si>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</si>
  <si>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</si>
  <si>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</si>
  <si>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</si>
  <si>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</si>
  <si>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</si>
  <si>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</si>
  <si>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</si>
  <si>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</si>
  <si>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</si>
  <si>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</si>
  <si>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</si>
  <si>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</si>
  <si>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</si>
  <si>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</si>
  <si>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</si>
  <si>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</si>
  <si>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</si>
  <si>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</si>
  <si>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</si>
  <si>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</si>
  <si>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</si>
  <si>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</si>
  <si>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</si>
  <si>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</si>
  <si>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</si>
  <si>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</si>
  <si>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</si>
  <si>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</si>
  <si>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</si>
  <si>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</si>
  <si>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</si>
  <si>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</si>
  <si>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</si>
  <si>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C004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</si>
  <si>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</si>
  <si>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</si>
  <si>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</si>
  <si>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</si>
  <si>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</si>
  <si>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</si>
  <si>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</si>
  <si>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</si>
  <si>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</si>
  <si>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</si>
  <si>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</si>
  <si>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</si>
  <si>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</si>
  <si>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</si>
  <si>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</si>
  <si>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</si>
  <si>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</si>
  <si>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</si>
  <si>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</si>
  <si>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</si>
  <si>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</si>
  <si>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</si>
  <si>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</si>
  <si>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</si>
  <si>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</si>
  <si>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</si>
  <si>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</si>
  <si>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</si>
  <si>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</si>
  <si>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</si>
  <si>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</si>
  <si>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</si>
  <si>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C188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</si>
  <si>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</si>
  <si>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</si>
  <si>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</si>
  <si>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</si>
  <si>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</si>
  <si>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</si>
  <si>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</si>
  <si>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</si>
  <si>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</si>
  <si>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</si>
  <si>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</si>
  <si>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</si>
  <si>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</si>
  <si>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</si>
  <si>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</si>
  <si>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</si>
  <si>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</si>
  <si>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</si>
  <si>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</si>
  <si>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</si>
  <si>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</si>
  <si>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</si>
  <si>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</si>
  <si>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</si>
  <si>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</si>
  <si>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C073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</si>
  <si>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</si>
  <si>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</si>
  <si>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</si>
  <si>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</si>
  <si>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</si>
  <si>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</si>
  <si>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</si>
  <si>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</si>
  <si>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</si>
  <si>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</si>
  <si>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</si>
  <si>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</si>
  <si>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C065</t>
  </si>
  <si>
    <t>O0677</t>
  </si>
  <si>
    <t>O0678</t>
  </si>
  <si>
    <t>O0679</t>
  </si>
  <si>
    <t>C087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</si>
  <si>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</si>
  <si>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</si>
  <si>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</si>
  <si>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</si>
  <si>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</si>
  <si>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</si>
  <si>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</si>
  <si>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</si>
  <si>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</si>
  <si>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</si>
  <si>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</si>
  <si>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</si>
  <si>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</si>
  <si>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</si>
  <si>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</si>
  <si>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</si>
  <si>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</si>
  <si>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</si>
  <si>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</si>
  <si>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</si>
  <si>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</si>
  <si>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</si>
  <si>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</si>
  <si>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</si>
  <si>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</si>
  <si>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</si>
  <si>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</si>
  <si>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</si>
  <si>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</si>
  <si>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</si>
  <si>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</si>
  <si>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</si>
  <si>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</si>
  <si>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</si>
  <si>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</si>
  <si>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</si>
  <si>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</si>
  <si>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</si>
  <si>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</si>
  <si>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</si>
  <si>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</si>
  <si>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</si>
  <si>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</si>
  <si>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</si>
  <si>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</si>
  <si>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</si>
  <si>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</si>
  <si>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</si>
  <si>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</si>
  <si>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</si>
  <si>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</si>
  <si>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</si>
  <si>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</si>
  <si>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</si>
  <si>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</si>
  <si>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</si>
  <si>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</si>
  <si>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</si>
  <si>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C032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</si>
  <si>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</si>
  <si>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</si>
  <si>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</si>
  <si>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</si>
  <si>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</si>
  <si>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</si>
  <si>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</si>
  <si>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</si>
  <si>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</si>
  <si>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</si>
  <si>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</si>
  <si>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</si>
  <si>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</si>
  <si>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</si>
  <si>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</si>
  <si>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</si>
  <si>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</si>
  <si>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</si>
  <si>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</si>
  <si>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</si>
  <si>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</si>
  <si>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</si>
  <si>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</si>
  <si>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</si>
  <si>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</si>
  <si>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</si>
  <si>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</si>
  <si>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</si>
  <si>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</si>
  <si>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</si>
  <si>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</si>
  <si>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</si>
  <si>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</si>
  <si>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</si>
  <si>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</si>
  <si>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</si>
  <si>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</si>
  <si>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</si>
  <si>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</si>
  <si>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</si>
  <si>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</si>
  <si>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</si>
  <si>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</si>
  <si>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</si>
  <si>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</si>
  <si>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</si>
  <si>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</si>
  <si>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</si>
  <si>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</si>
  <si>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</si>
  <si>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</si>
  <si>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</si>
  <si>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</si>
  <si>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</si>
  <si>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</si>
  <si>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</si>
  <si>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</si>
  <si>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</si>
  <si>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</si>
  <si>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</si>
  <si>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</si>
  <si>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</si>
  <si>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</si>
  <si>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</si>
  <si>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</si>
  <si>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</si>
  <si>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</si>
  <si>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</si>
  <si>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</si>
  <si>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</si>
  <si>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</si>
  <si>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</si>
  <si>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</si>
  <si>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</si>
  <si>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</si>
  <si>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</si>
  <si>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</si>
  <si>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</si>
  <si>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</si>
  <si>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</si>
  <si>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</si>
  <si>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</si>
  <si>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</si>
  <si>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</si>
  <si>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</si>
  <si>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</si>
  <si>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</si>
  <si>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</si>
  <si>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</si>
  <si>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</si>
  <si>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</si>
  <si>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</si>
  <si>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</si>
  <si>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</si>
  <si>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</si>
  <si>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</si>
  <si>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</si>
  <si>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</si>
  <si>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</si>
  <si>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</si>
  <si>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</si>
  <si>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</si>
  <si>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</si>
  <si>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</si>
  <si>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</si>
  <si>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</si>
  <si>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</si>
  <si>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</si>
  <si>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C031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</si>
  <si>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</si>
  <si>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</si>
  <si>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</si>
  <si>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</si>
  <si>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</si>
  <si>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</si>
  <si>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</si>
  <si>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</si>
  <si>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</si>
  <si>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</si>
  <si>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</si>
  <si>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</si>
  <si>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</si>
  <si>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</si>
  <si>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</si>
  <si>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</si>
  <si>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C072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</si>
  <si>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</si>
  <si>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</si>
  <si>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</si>
  <si>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</si>
  <si>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</si>
  <si>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</si>
  <si>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</si>
  <si>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</si>
  <si>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</si>
  <si>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</si>
  <si>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</si>
  <si>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</si>
  <si>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</si>
  <si>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</si>
  <si>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</si>
  <si>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</si>
  <si>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</si>
  <si>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</si>
  <si>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</si>
  <si>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</si>
  <si>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</si>
  <si>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</si>
  <si>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</si>
  <si>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</si>
  <si>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</si>
  <si>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</si>
  <si>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</si>
  <si>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</si>
  <si>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</si>
  <si>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</si>
  <si>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</si>
  <si>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</si>
  <si>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</si>
  <si>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</si>
  <si>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</si>
  <si>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</si>
  <si>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</si>
  <si>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</si>
  <si>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</si>
  <si>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</si>
  <si>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</si>
  <si>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</si>
  <si>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</si>
  <si>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</si>
  <si>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</si>
  <si>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</si>
  <si>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</si>
  <si>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</si>
  <si>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</si>
  <si>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</si>
  <si>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</si>
  <si>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</si>
  <si>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</si>
  <si>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</si>
  <si>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</si>
  <si>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</si>
  <si>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</si>
  <si>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</si>
  <si>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</si>
  <si>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</si>
  <si>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</si>
  <si>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</si>
  <si>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</si>
  <si>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</si>
  <si>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</si>
  <si>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</si>
  <si>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</si>
  <si>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</si>
  <si>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</si>
  <si>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</si>
  <si>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</si>
  <si>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</si>
  <si>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</si>
  <si>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</si>
  <si>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</si>
  <si>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</si>
  <si>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</si>
  <si>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</si>
  <si>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</si>
  <si>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</si>
  <si>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</si>
  <si>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</si>
  <si>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</si>
  <si>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</si>
  <si>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</si>
  <si>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</si>
  <si>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</si>
  <si>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</si>
  <si>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</si>
  <si>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</si>
  <si>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</si>
  <si>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</si>
  <si>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</si>
  <si>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</si>
  <si>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</si>
  <si>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</si>
  <si>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</si>
  <si>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</si>
  <si>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</si>
  <si>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</si>
  <si>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</si>
  <si>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</si>
  <si>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</si>
  <si>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</si>
  <si>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</si>
  <si>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</si>
  <si>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</si>
  <si>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</si>
  <si>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</si>
  <si>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</si>
  <si>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</si>
  <si>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</si>
  <si>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</si>
  <si>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</si>
  <si>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</si>
  <si>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</si>
  <si>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</si>
  <si>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</si>
  <si>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</si>
  <si>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</si>
  <si>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</si>
  <si>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</si>
  <si>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</si>
  <si>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</si>
  <si>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</si>
  <si>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</si>
  <si>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</si>
  <si>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</si>
  <si>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</si>
  <si>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</si>
  <si>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</si>
  <si>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</si>
  <si>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</si>
  <si>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</si>
  <si>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</si>
  <si>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</si>
  <si>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</si>
  <si>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</si>
  <si>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</si>
  <si>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Total Revenue</t>
  </si>
  <si>
    <t>Total Profit</t>
  </si>
  <si>
    <t>Total Orders</t>
  </si>
  <si>
    <t>Unique Customers</t>
  </si>
  <si>
    <t>Profit Margin %</t>
  </si>
  <si>
    <t>Avg Order Value</t>
  </si>
  <si>
    <t>Row Labels</t>
  </si>
  <si>
    <t>Grand Total</t>
  </si>
  <si>
    <t>Sum of sales</t>
  </si>
  <si>
    <t>Sum of profit</t>
  </si>
  <si>
    <t>(All)</t>
  </si>
  <si>
    <t>Count of order_id</t>
  </si>
  <si>
    <t>Revenue Growth %</t>
  </si>
  <si>
    <t>Profit Growth %</t>
  </si>
  <si>
    <t>Category Contribution %</t>
  </si>
  <si>
    <t>Region-wise 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</si>
</sst>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74" formatCode="_ &quot;₹&quot;\ * #,##0_ ;_ &quot;₹&quot;\ * \-#,##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9" fontId="0" fillId="0" borderId="0" xfId="1" applyFont="1"/>
    <xf numFmtId="0" fontId="0" fillId="2" borderId="0" xfId="0" applyFill="1"/>
    <xf numFmtId="164" fontId="0" fillId="2" borderId="0" xfId="0" applyNumberFormat="1" applyFill="1"/>
    <xf numFmtId="9" fontId="0" fillId="2" borderId="0" xfId="1" applyFont="1" applyFill="1"/>
    <xf numFmtId="174" fontId="0" fillId="2" borderId="0" xfId="2" applyNumberFormat="1" applyFont="1" applyFill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9"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0" formatCode="General"/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[Customer_Revenue_Profitability_Dashboard_Data.xlsx]MIS_KPI_Summary!PivotTable1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2636932707355236E-2"/>
              <c:y val="6.7164260717410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068075117370899E-2"/>
              <c:y val="8.5682779235928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068075117370892E-2"/>
              <c:y val="5.32753718285214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4154929577464788E-2"/>
              <c:y val="6.7164260717410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2198748043818465E-2"/>
              <c:y val="6.71642607174102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MIS_KPI_Summary!$B$14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2"/>
              <c:layout>
                <c:manualLayout>
                  <c:x val="-8.2198748043818465E-2"/>
                  <c:y val="6.71642607174102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F8-4E39-8D3E-36EAA9845FED}"/>
                </c:ext>
              </c:extLst>
            </c:dLbl>
            <c:dLbl>
              <c:idx val="4"/>
              <c:layout>
                <c:manualLayout>
                  <c:x val="-8.4154929577464788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F8-4E39-8D3E-36EAA9845FED}"/>
                </c:ext>
              </c:extLst>
            </c:dLbl>
            <c:dLbl>
              <c:idx val="5"/>
              <c:layout>
                <c:manualLayout>
                  <c:x val="-6.2636932707355236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F8-4E39-8D3E-36EAA9845FED}"/>
                </c:ext>
              </c:extLst>
            </c:dLbl>
            <c:dLbl>
              <c:idx val="7"/>
              <c:layout>
                <c:manualLayout>
                  <c:x val="-6.068075117370899E-2"/>
                  <c:y val="8.5682779235928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8-4E39-8D3E-36EAA9845FED}"/>
                </c:ext>
              </c:extLst>
            </c:dLbl>
            <c:dLbl>
              <c:idx val="9"/>
              <c:layout>
                <c:manualLayout>
                  <c:x val="-6.068075117370892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F8-4E39-8D3E-36EAA9845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MIS_KPI_Summary!$A$15:$A$27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MIS_KPI_Summary!$B$15:$B$27</c:f>
              <c:numCache>
                <c:formatCode>_ [$₹-4009]\ * #,##0_ ;_ [$₹-4009]\ * \-#,##0_ ;_ [$₹-4009]\ * "-"??_ ;_ @_ </c:formatCode>
                <c:ptCount val="12"/>
                <c:pt idx="0">
                  <c:v>2185316.25</c:v>
                </c:pt>
                <c:pt idx="1">
                  <c:v>2431498.629999999</c:v>
                </c:pt>
                <c:pt idx="2">
                  <c:v>1982690.8699999996</c:v>
                </c:pt>
                <c:pt idx="3">
                  <c:v>2289663.6300000004</c:v>
                </c:pt>
                <c:pt idx="4">
                  <c:v>2134086.5199999996</c:v>
                </c:pt>
                <c:pt idx="5">
                  <c:v>1744984.8199999998</c:v>
                </c:pt>
                <c:pt idx="6">
                  <c:v>2468670.2600000012</c:v>
                </c:pt>
                <c:pt idx="7">
                  <c:v>2175502.6500000008</c:v>
                </c:pt>
                <c:pt idx="8">
                  <c:v>2484662.1300000004</c:v>
                </c:pt>
                <c:pt idx="9">
                  <c:v>1930146.38</c:v>
                </c:pt>
                <c:pt idx="10">
                  <c:v>2100717.37</c:v>
                </c:pt>
                <c:pt idx="11">
                  <c:v>1873650.7200000002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C-457B-9C3B-AB8929EE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749744"/>
        <c:axId val="537733424"/>
      </c:lineChart>
      <c:catAx>
        <c:axId val="5377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33424"/>
        <c:crosses val="autoZero"/>
        <c:auto val="1"/>
        <c:lblAlgn val="ctr"/>
        <c:lblOffset val="100"/>
        <c:noMultiLvlLbl val="0"/>
      </c:catAx>
      <c:valAx>
        <c:axId val="5377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[Customer_Revenue_Profitability_Dashboard_Data.xlsx]MIS_KPI_Summary!PivotTable2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MIS_KPI_Summary!$B$35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MIS_KPI_Summary!$A$36:$A$40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MIS_KPI_Summary!$B$36:$B$40</c:f>
              <c:numCache>
                <c:formatCode>_ [$₹-4009]\ * #,##0_ ;_ [$₹-4009]\ * \-#,##0_ ;_ [$₹-4009]\ * "-"??_ ;_ @_ </c:formatCode>
                <c:ptCount val="4"/>
                <c:pt idx="0">
                  <c:v>7538160.2899999963</c:v>
                </c:pt>
                <c:pt idx="1">
                  <c:v>7436611.8700000001</c:v>
                </c:pt>
                <c:pt idx="2">
                  <c:v>5335026.43</c:v>
                </c:pt>
                <c:pt idx="3">
                  <c:v>5491791.6400000015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8-4D37-B847-FA9A31D5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65652319"/>
        <c:axId val="1165653279"/>
      </c:barChart>
      <c:catAx>
        <c:axId val="116565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53279"/>
        <c:crosses val="autoZero"/>
        <c:auto val="1"/>
        <c:lblAlgn val="ctr"/>
        <c:lblOffset val="100"/>
        <c:noMultiLvlLbl val="0"/>
      </c:catAx>
      <c:valAx>
        <c:axId val="116565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65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[Customer_Revenue_Profitability_Dashboard_Data.xlsx]MIS_KPI_Summary!PivotTable3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MIS_KPI_Summary!$B$50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MIS_KPI_Summary!$A$51:$A$55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MIS_KPI_Summary!$B$51:$B$55</c:f>
              <c:numCache>
                <c:formatCode>_ [$₹-4009]\ * #,##0_ ;_ [$₹-4009]\ * \-#,##0_ ;_ [$₹-4009]\ * "-"??_ ;_ @_ </c:formatCode>
                <c:ptCount val="4"/>
                <c:pt idx="0">
                  <c:v>6792040.1499999976</c:v>
                </c:pt>
                <c:pt idx="1">
                  <c:v>-1252793.1800000002</c:v>
                </c:pt>
                <c:pt idx="2">
                  <c:v>3537065.9799999995</c:v>
                </c:pt>
                <c:pt idx="3">
                  <c:v>6361277.2799999993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D-4569-BFF7-2BE45822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7918511"/>
        <c:axId val="1407918991"/>
      </c:barChart>
      <c:catAx>
        <c:axId val="14079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18991"/>
        <c:crosses val="autoZero"/>
        <c:auto val="1"/>
        <c:lblAlgn val="ctr"/>
        <c:lblOffset val="100"/>
        <c:noMultiLvlLbl val="0"/>
      </c:catAx>
      <c:valAx>
        <c:axId val="14079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1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[Customer_Revenue_Profitability_Dashboard_Data.xlsx]MIS_KPI_Summary!PivotTable4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Repeat Customer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MIS_KPI_Summary!$A$67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MIS_KPI_Summary!$A$68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MIS_KPI_Summary!$A$68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7-4A77-BCC6-B75C425BA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9"/>
        <c:overlap val="-24"/>
        <c:axId val="1486014527"/>
        <c:axId val="1486020287"/>
      </c:barChart>
      <c:catAx>
        <c:axId val="148601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20287"/>
        <c:crosses val="autoZero"/>
        <c:auto val="1"/>
        <c:lblAlgn val="ctr"/>
        <c:lblOffset val="100"/>
        <c:noMultiLvlLbl val="0"/>
      </c:catAx>
      <c:valAx>
        <c:axId val="14860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1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Month-on-Month (MoM)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MIS_KPI_Summary!$F$84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MIS_KPI_Summary!$E$85:$E$96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MIS_KPI_Summary!$F$85:$F$96</c:f>
              <c:numCache>
                <c:formatCode>_ [$₹-4009]\ * #,##0_ ;_ [$₹-4009]\ * \-#,##0_ ;_ [$₹-4009]\ * "-"??_ ;_ @_ </c:formatCode>
                <c:ptCount val="12"/>
                <c:pt idx="0">
                  <c:v>2185316.25</c:v>
                </c:pt>
                <c:pt idx="1">
                  <c:v>2431498.629999999</c:v>
                </c:pt>
                <c:pt idx="2">
                  <c:v>1982690.8699999996</c:v>
                </c:pt>
                <c:pt idx="3">
                  <c:v>2289663.6300000004</c:v>
                </c:pt>
                <c:pt idx="4">
                  <c:v>2134086.5199999996</c:v>
                </c:pt>
                <c:pt idx="5">
                  <c:v>1744984.8199999998</c:v>
                </c:pt>
                <c:pt idx="6">
                  <c:v>2468670.2600000012</c:v>
                </c:pt>
                <c:pt idx="7">
                  <c:v>2175502.6500000008</c:v>
                </c:pt>
                <c:pt idx="8">
                  <c:v>2484662.1300000004</c:v>
                </c:pt>
                <c:pt idx="9">
                  <c:v>1930146.38</c:v>
                </c:pt>
                <c:pt idx="10">
                  <c:v>2100717.37</c:v>
                </c:pt>
                <c:pt idx="11">
                  <c:v>1873650.7200000002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F-4D1B-8F16-C278BA3F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199167"/>
        <c:axId val="1492200607"/>
      </c:barChart>
      <c:lineChart>
        <c:grouping val="standard"/>
        <c:varyColors val="0"/>
        <c:ser>
          <c:idx val="1"/>
          <c:order val="1"/>
          <c:tx>
            <c:strRef>
              <c:f>MIS_KPI_Summary!$G$84</c:f>
              <c:strCache>
                <c:ptCount val="1"/>
                <c:pt idx="0">
                  <c:v>Revenue Growth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1"/>
              <c:layout>
                <c:manualLayout>
                  <c:x val="-3.4228541337546076E-2"/>
                  <c:y val="6.4814814814814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BF-4D1B-8F16-C278BA3F97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MIS_KPI_Summary!$E$85:$E$96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MIS_KPI_Summary!$G$85:$G$96</c:f>
              <c:numCache>
                <c:formatCode>0%</c:formatCode>
                <c:ptCount val="12"/>
                <c:pt idx="1">
                  <c:v>0.1126529764284684</c:v>
                </c:pt>
                <c:pt idx="2">
                  <c:v>-0.18458071679028645</c:v>
                </c:pt>
                <c:pt idx="3">
                  <c:v>0.15482633457630274</c:v>
                </c:pt>
                <c:pt idx="4">
                  <c:v>-6.794758320024534E-2</c:v>
                </c:pt>
                <c:pt idx="5">
                  <c:v>-0.18232705017039319</c:v>
                </c:pt>
                <c:pt idx="6">
                  <c:v>0.41472305759083988</c:v>
                </c:pt>
                <c:pt idx="7">
                  <c:v>-0.11875527272726986</c:v>
                </c:pt>
                <c:pt idx="8">
                  <c:v>0.1421094476717826</c:v>
                </c:pt>
                <c:pt idx="9">
                  <c:v>-0.22317551481335629</c:v>
                </c:pt>
                <c:pt idx="10">
                  <c:v>8.8372048756219332E-2</c:v>
                </c:pt>
                <c:pt idx="11">
                  <c:v>-0.10809005211395947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BF-4D1B-8F16-C278BA3F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199647"/>
        <c:axId val="1492200127"/>
      </c:lineChart>
      <c:catAx>
        <c:axId val="149219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200607"/>
        <c:crosses val="autoZero"/>
        <c:auto val="1"/>
        <c:lblAlgn val="ctr"/>
        <c:lblOffset val="100"/>
        <c:noMultiLvlLbl val="0"/>
      </c:catAx>
      <c:valAx>
        <c:axId val="149220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199167"/>
        <c:crosses val="autoZero"/>
        <c:crossBetween val="between"/>
      </c:valAx>
      <c:valAx>
        <c:axId val="14922001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199647"/>
        <c:crosses val="max"/>
        <c:crossBetween val="between"/>
      </c:valAx>
      <c:catAx>
        <c:axId val="1492199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22001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Growth %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MIS_KPI_Summary!$E$107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MIS_KPI_Summary!$D$108:$D$119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MIS_KPI_Summary!$E$108:$E$119</c:f>
              <c:numCache>
                <c:formatCode>_ [$₹-4009]\ * #,##0_ ;_ [$₹-4009]\ * \-#,##0_ ;_ [$₹-4009]\ * "-"??_ ;_ @_ </c:formatCode>
                <c:ptCount val="12"/>
                <c:pt idx="0">
                  <c:v>1327316.2500000002</c:v>
                </c:pt>
                <c:pt idx="1">
                  <c:v>1443498.6299999997</c:v>
                </c:pt>
                <c:pt idx="2">
                  <c:v>1318190.8699999996</c:v>
                </c:pt>
                <c:pt idx="3">
                  <c:v>1326163.6300000001</c:v>
                </c:pt>
                <c:pt idx="4">
                  <c:v>1314586.5200000003</c:v>
                </c:pt>
                <c:pt idx="5">
                  <c:v>1024484.8200000001</c:v>
                </c:pt>
                <c:pt idx="6">
                  <c:v>1496170.2599999998</c:v>
                </c:pt>
                <c:pt idx="7">
                  <c:v>1360002.6500000001</c:v>
                </c:pt>
                <c:pt idx="8">
                  <c:v>1499662.1300000001</c:v>
                </c:pt>
                <c:pt idx="9">
                  <c:v>1146646.3800000001</c:v>
                </c:pt>
                <c:pt idx="10">
                  <c:v>1233217.3700000001</c:v>
                </c:pt>
                <c:pt idx="11">
                  <c:v>947650.71999999986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F-4F32-B7D4-94B8C992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833375"/>
        <c:axId val="1498833855"/>
      </c:barChart>
      <c:lineChart>
        <c:grouping val="standard"/>
        <c:varyColors val="0"/>
        <c:ser>
          <c:idx val="1"/>
          <c:order val="1"/>
          <c:tx>
            <c:strRef>
              <c:f>MIS_KPI_Summary!$F$107</c:f>
              <c:strCache>
                <c:ptCount val="1"/>
                <c:pt idx="0">
                  <c:v>Profit Growth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MIS_KPI_Summary!$D$108:$D$119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MIS_KPI_Summary!$F$108:$F$119</c:f>
              <c:numCache>
                <c:formatCode>0%</c:formatCode>
                <c:ptCount val="12"/>
                <c:pt idx="1">
                  <c:v>8.7531799599379123E-2</c:v>
                </c:pt>
                <c:pt idx="2">
                  <c:v>-8.6808367805655651E-2</c:v>
                </c:pt>
                <c:pt idx="3">
                  <c:v>6.0482591568855864E-3</c:v>
                </c:pt>
                <c:pt idx="4">
                  <c:v>-8.7297749222694856E-3</c:v>
                </c:pt>
                <c:pt idx="5">
                  <c:v>-0.22067904667088792</c:v>
                </c:pt>
                <c:pt idx="6">
                  <c:v>0.46041232704648538</c:v>
                </c:pt>
                <c:pt idx="7">
                  <c:v>-9.1010771728613063E-2</c:v>
                </c:pt>
                <c:pt idx="8">
                  <c:v>0.10269059402200427</c:v>
                </c:pt>
                <c:pt idx="9">
                  <c:v>-0.2353968556904214</c:v>
                </c:pt>
                <c:pt idx="10">
                  <c:v>7.5499292118290193E-2</c:v>
                </c:pt>
                <c:pt idx="11">
                  <c:v>-0.23156229951577817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F-4F32-B7D4-94B8C992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832415"/>
        <c:axId val="1498831935"/>
      </c:lineChart>
      <c:catAx>
        <c:axId val="14988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33855"/>
        <c:crosses val="autoZero"/>
        <c:auto val="1"/>
        <c:lblAlgn val="ctr"/>
        <c:lblOffset val="100"/>
        <c:noMultiLvlLbl val="0"/>
      </c:catAx>
      <c:valAx>
        <c:axId val="14988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33375"/>
        <c:crosses val="autoZero"/>
        <c:crossBetween val="between"/>
      </c:valAx>
      <c:valAx>
        <c:axId val="149883193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32415"/>
        <c:crosses val="max"/>
        <c:crossBetween val="between"/>
      </c:valAx>
      <c:catAx>
        <c:axId val="1498832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88319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[Customer_Revenue_Profitability_Dashboard_Data.xlsx]MIS_KPI_Summary!PivotTable13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Top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MIS_KPI_Summary!$B$129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MIS_KPI_Summary!$A$130:$A$140</c:f>
              <c:strCache>
                <c:ptCount val="10"/>
                <c:pt idx="0">
                  <c:v>C167</c:v>
                </c:pt>
                <c:pt idx="1">
                  <c:v>C091</c:v>
                </c:pt>
                <c:pt idx="2">
                  <c:v>C025</c:v>
                </c:pt>
                <c:pt idx="3">
                  <c:v>C137</c:v>
                </c:pt>
                <c:pt idx="4">
                  <c:v>C057</c:v>
                </c:pt>
                <c:pt idx="5">
                  <c:v>C129</c:v>
                </c:pt>
                <c:pt idx="6">
                  <c:v>C107</c:v>
                </c:pt>
                <c:pt idx="7">
                  <c:v>C062</c:v>
                </c:pt>
                <c:pt idx="8">
                  <c:v>C197</c:v>
                </c:pt>
                <c:pt idx="9">
                  <c:v>C047</c:v>
                </c:pt>
              </c:strCache>
            </c:strRef>
          </c:cat>
          <c:val>
            <c:numRef>
              <c:f>MIS_KPI_Summary!$B$130:$B$140</c:f>
              <c:numCache>
                <c:formatCode>_ [$₹-4009]\ * #,##0_ ;_ [$₹-4009]\ * \-#,##0_ ;_ [$₹-4009]\ * "-"??_ ;_ @_ </c:formatCode>
                <c:ptCount val="10"/>
                <c:pt idx="0">
                  <c:v>247129.81999999998</c:v>
                </c:pt>
                <c:pt idx="1">
                  <c:v>250699.78</c:v>
                </c:pt>
                <c:pt idx="2">
                  <c:v>254895.7</c:v>
                </c:pt>
                <c:pt idx="3">
                  <c:v>258667.94</c:v>
                </c:pt>
                <c:pt idx="4">
                  <c:v>268802.26999999996</c:v>
                </c:pt>
                <c:pt idx="5">
                  <c:v>271938.99000000005</c:v>
                </c:pt>
                <c:pt idx="6">
                  <c:v>275033.84000000003</c:v>
                </c:pt>
                <c:pt idx="7">
                  <c:v>300927.31</c:v>
                </c:pt>
                <c:pt idx="8">
                  <c:v>301999.82</c:v>
                </c:pt>
                <c:pt idx="9">
                  <c:v>381304.39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8-4762-907A-01B40B6D9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67239103"/>
        <c:axId val="1167237663"/>
      </c:barChart>
      <c:catAx>
        <c:axId val="116723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37663"/>
        <c:crosses val="autoZero"/>
        <c:auto val="1"/>
        <c:lblAlgn val="ctr"/>
        <c:lblOffset val="100"/>
        <c:noMultiLvlLbl val="0"/>
      </c:catAx>
      <c:valAx>
        <c:axId val="116723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Contribution Revenue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MIS_KPI_Summary!$D$151:$D$155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MIS_KPI_Summary!$E$151:$E$155</c:f>
              <c:numCache>
                <c:formatCode>_ [$₹-4009]\ * #,##0_ ;_ [$₹-4009]\ * \-#,##0_ ;_ [$₹-4009]\ * "-"??_ ;_ @_ </c:formatCode>
                <c:ptCount val="5"/>
                <c:pt idx="0">
                  <c:v>7344040.1499999976</c:v>
                </c:pt>
                <c:pt idx="1">
                  <c:v>5527206.8199999994</c:v>
                </c:pt>
                <c:pt idx="2">
                  <c:v>6441065.9799999995</c:v>
                </c:pt>
                <c:pt idx="3">
                  <c:v>6489277.2799999993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8-48B2-BDA9-9DDB83F3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248239"/>
        <c:axId val="837248719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2.4999999999999949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8-48B2-BDA9-9DDB83F3B97E}"/>
                </c:ext>
              </c:extLst>
            </c:dLbl>
            <c:dLbl>
              <c:idx val="2"/>
              <c:layout>
                <c:manualLayout>
                  <c:x val="2.7777777777777779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58-48B2-BDA9-9DDB83F3B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MIS_KPI_Summary!$D$151:$D$155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MIS_KPI_Summary!$F$151:$F$155</c:f>
              <c:numCache>
                <c:formatCode>0%</c:formatCode>
                <c:ptCount val="5"/>
                <c:pt idx="0">
                  <c:v>0.28463517498471635</c:v>
                </c:pt>
                <c:pt idx="1">
                  <c:v>0.21421961866417874</c:v>
                </c:pt>
                <c:pt idx="2">
                  <c:v>0.24963833324160192</c:v>
                </c:pt>
                <c:pt idx="3">
                  <c:v>0.25150687310950293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8-48B2-BDA9-9DDB83F3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252559"/>
        <c:axId val="837252079"/>
      </c:lineChart>
      <c:catAx>
        <c:axId val="8372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48719"/>
        <c:crosses val="autoZero"/>
        <c:auto val="1"/>
        <c:lblAlgn val="ctr"/>
        <c:lblOffset val="100"/>
        <c:noMultiLvlLbl val="0"/>
      </c:catAx>
      <c:valAx>
        <c:axId val="8372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48239"/>
        <c:crosses val="autoZero"/>
        <c:crossBetween val="between"/>
      </c:valAx>
      <c:valAx>
        <c:axId val="83725207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52559"/>
        <c:crosses val="max"/>
        <c:crossBetween val="between"/>
      </c:valAx>
      <c:catAx>
        <c:axId val="837252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2520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 Profit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MIS_KPI_Summary!$E$167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MIS_KPI_Summary!$D$168:$D$171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MIS_KPI_Summary!$E$168:$E$171</c:f>
              <c:numCache>
                <c:formatCode>_ "₹"\ * #,##0_ ;_ "₹"\ * \-#,##0_ ;_ "₹"\ * "-"??_ ;_ @_ </c:formatCode>
                <c:ptCount val="4"/>
                <c:pt idx="0">
                  <c:v>4666660.2899999982</c:v>
                </c:pt>
                <c:pt idx="1">
                  <c:v>4372111.870000001</c:v>
                </c:pt>
                <c:pt idx="2">
                  <c:v>3106026.43</c:v>
                </c:pt>
                <c:pt idx="3">
                  <c:v>3292791.6399999983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5-4326-BDFD-AA3B7884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015487"/>
        <c:axId val="1486016927"/>
      </c:barChart>
      <c:lineChart>
        <c:grouping val="standard"/>
        <c:varyColors val="0"/>
        <c:ser>
          <c:idx val="1"/>
          <c:order val="1"/>
          <c:tx>
            <c:strRef>
              <c:f>MIS_KPI_Summary!$F$167</c:f>
              <c:strCache>
                <c:ptCount val="1"/>
                <c:pt idx="0">
                  <c:v>Region-wise Profit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1.6666666666666614E-2"/>
                  <c:y val="-3.2407407407407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95-4326-BDFD-AA3B78847EAF}"/>
                </c:ext>
              </c:extLst>
            </c:dLbl>
            <c:dLbl>
              <c:idx val="1"/>
              <c:layout>
                <c:manualLayout>
                  <c:x val="1.9444444444444445E-2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95-4326-BDFD-AA3B78847EAF}"/>
                </c:ext>
              </c:extLst>
            </c:dLbl>
            <c:dLbl>
              <c:idx val="2"/>
              <c:layout>
                <c:manualLayout>
                  <c:x val="8.3333333333333332E-3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95-4326-BDFD-AA3B78847EAF}"/>
                </c:ext>
              </c:extLst>
            </c:dLbl>
            <c:dLbl>
              <c:idx val="3"/>
              <c:layout>
                <c:manualLayout>
                  <c:x val="1.0936132973192011E-7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95-4326-BDFD-AA3B78847E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MIS_KPI_Summary!$D$168:$D$171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MIS_KPI_Summary!$F$168:$F$171</c:f>
              <c:numCache>
                <c:formatCode>0%</c:formatCode>
                <c:ptCount val="4"/>
                <c:pt idx="0">
                  <c:v>0.30229201711360609</c:v>
                </c:pt>
                <c:pt idx="1">
                  <c:v>0.28321206903805746</c:v>
                </c:pt>
                <c:pt idx="2">
                  <c:v>0.20119891665242112</c:v>
                </c:pt>
                <c:pt idx="3">
                  <c:v>0.21329699719591524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5-4326-BDFD-AA3B7884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505407"/>
        <c:axId val="1171506847"/>
      </c:lineChart>
      <c:catAx>
        <c:axId val="148601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16927"/>
        <c:crosses val="autoZero"/>
        <c:auto val="1"/>
        <c:lblAlgn val="ctr"/>
        <c:lblOffset val="100"/>
        <c:noMultiLvlLbl val="0"/>
      </c:catAx>
      <c:valAx>
        <c:axId val="14860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15487"/>
        <c:crosses val="autoZero"/>
        <c:crossBetween val="between"/>
      </c:valAx>
      <c:valAx>
        <c:axId val="117150684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505407"/>
        <c:crosses val="max"/>
        <c:crossBetween val="between"/>
      </c:valAx>
      <c:catAx>
        <c:axId val="1171505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15068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10</xdr:row>
      <xdr:rowOff>163830</xdr:rowOff>
    </xdr:from>
    <xdr:to>
      <xdr:col>11</xdr:col>
      <xdr:colOff>137160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54F12-34D8-73AB-F371-9779AFCB4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708660</xdr:colOff>
      <xdr:row>28</xdr:row>
      <xdr:rowOff>87630</xdr:rowOff>
    </xdr:from>
    <xdr:to>
      <xdr:col>11</xdr:col>
      <xdr:colOff>586740</xdr:colOff>
      <xdr:row>43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F3DE3-9B40-E7D9-41EA-4FAEF4511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46</xdr:row>
      <xdr:rowOff>72390</xdr:rowOff>
    </xdr:from>
    <xdr:to>
      <xdr:col>10</xdr:col>
      <xdr:colOff>403860</xdr:colOff>
      <xdr:row>61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949F9C-072F-2192-2302-CF033CCDC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62</xdr:row>
      <xdr:rowOff>140970</xdr:rowOff>
    </xdr:from>
    <xdr:to>
      <xdr:col>10</xdr:col>
      <xdr:colOff>373380</xdr:colOff>
      <xdr:row>77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8D630-D4FD-49BA-0805-36F08C34F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541020</xdr:colOff>
      <xdr:row>81</xdr:row>
      <xdr:rowOff>19050</xdr:rowOff>
    </xdr:from>
    <xdr:to>
      <xdr:col>15</xdr:col>
      <xdr:colOff>487680</xdr:colOff>
      <xdr:row>96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8D8631-AE38-AA97-1E9C-AF10A32A7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617220</xdr:colOff>
      <xdr:row>105</xdr:row>
      <xdr:rowOff>11430</xdr:rowOff>
    </xdr:from>
    <xdr:to>
      <xdr:col>13</xdr:col>
      <xdr:colOff>396240</xdr:colOff>
      <xdr:row>120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89E46-1ADB-545E-66B3-3F01D5E6B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128</xdr:row>
      <xdr:rowOff>11430</xdr:rowOff>
    </xdr:from>
    <xdr:to>
      <xdr:col>10</xdr:col>
      <xdr:colOff>472440</xdr:colOff>
      <xdr:row>143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A276F6-4ADB-8A0D-8238-138D09E58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396240</xdr:colOff>
      <xdr:row>146</xdr:row>
      <xdr:rowOff>34290</xdr:rowOff>
    </xdr:from>
    <xdr:to>
      <xdr:col>13</xdr:col>
      <xdr:colOff>175260</xdr:colOff>
      <xdr:row>161</xdr:row>
      <xdr:rowOff>34290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112252-6753-3384-3FB9-F861C3557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312420</xdr:colOff>
      <xdr:row>164</xdr:row>
      <xdr:rowOff>110490</xdr:rowOff>
    </xdr:from>
    <xdr:to>
      <xdr:col>13</xdr:col>
      <xdr:colOff>91440</xdr:colOff>
      <xdr:row>179</xdr:row>
      <xdr:rowOff>110490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91352E-26D7-75EA-6E00-910D78528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sh rapolu" refreshedDate="46076.691950694447" createdVersion="8" refreshedVersion="8" minRefreshableVersion="3" recordCount="1000" xr:uid="{1F59A0F7-60B0-4DF6-98BC-7939ADA1BD92}">
  <cacheSource type="worksheet">
    <worksheetSource ref="A1:J1001" sheet="raw_data"/>
  </cacheSource>
  <cacheFields count="10">
    <cacheField name="order_id" numFmtId="0">
      <sharedItems/>
    </cacheField>
    <cacheField name="customer_id" numFmtId="0">
      <sharedItems count="200">
        <s v="C200"/>
        <s v="C113"/>
        <s v="C039"/>
        <s v="C158"/>
        <s v="C112"/>
        <s v="C050"/>
        <s v="C160"/>
        <s v="C121"/>
        <s v="C183"/>
        <s v="C123"/>
        <s v="C048"/>
        <s v="C108"/>
        <s v="C155"/>
        <s v="C117"/>
        <s v="C167"/>
        <s v="C196"/>
        <s v="C127"/>
        <s v="C036"/>
        <s v="C030"/>
        <s v="C083"/>
        <s v="C114"/>
        <s v="C109"/>
        <s v="C054"/>
        <s v="C115"/>
        <s v="C006"/>
        <s v="C069"/>
        <s v="C137"/>
        <s v="C064"/>
        <s v="C017"/>
        <s v="C018"/>
        <s v="C128"/>
        <s v="C125"/>
        <s v="C085"/>
        <s v="C058"/>
        <s v="C145"/>
        <s v="C062"/>
        <s v="C022"/>
        <s v="C013"/>
        <s v="C150"/>
        <s v="C106"/>
        <s v="C003"/>
        <s v="C028"/>
        <s v="C001"/>
        <s v="C141"/>
        <s v="C195"/>
        <s v="C010"/>
        <s v="C082"/>
        <s v="C040"/>
        <s v="C124"/>
        <s v="C118"/>
        <s v="C070"/>
        <s v="C138"/>
        <s v="C182"/>
        <s v="C164"/>
        <s v="C002"/>
        <s v="C080"/>
        <s v="C193"/>
        <s v="C063"/>
        <s v="C169"/>
        <s v="C008"/>
        <s v="C119"/>
        <s v="C088"/>
        <s v="C007"/>
        <s v="C179"/>
        <s v="C149"/>
        <s v="C187"/>
        <s v="C074"/>
        <s v="C047"/>
        <s v="C103"/>
        <s v="C059"/>
        <s v="C151"/>
        <s v="C038"/>
        <s v="C027"/>
        <s v="C161"/>
        <s v="C051"/>
        <s v="C165"/>
        <s v="C066"/>
        <s v="C097"/>
        <s v="C025"/>
        <s v="C055"/>
        <s v="C148"/>
        <s v="C009"/>
        <s v="C184"/>
        <s v="C172"/>
        <s v="C159"/>
        <s v="C084"/>
        <s v="C086"/>
        <s v="C147"/>
        <s v="C173"/>
        <s v="C181"/>
        <s v="C186"/>
        <s v="C089"/>
        <s v="C020"/>
        <s v="C171"/>
        <s v="C143"/>
        <s v="C043"/>
        <s v="C024"/>
        <s v="C105"/>
        <s v="C192"/>
        <s v="C154"/>
        <s v="C129"/>
        <s v="C067"/>
        <s v="C044"/>
        <s v="C107"/>
        <s v="C139"/>
        <s v="C178"/>
        <s v="C012"/>
        <s v="C102"/>
        <s v="C015"/>
        <s v="C142"/>
        <s v="C194"/>
        <s v="C092"/>
        <s v="C016"/>
        <s v="C094"/>
        <s v="C045"/>
        <s v="C005"/>
        <s v="C120"/>
        <s v="C191"/>
        <s v="C099"/>
        <s v="C198"/>
        <s v="C035"/>
        <s v="C174"/>
        <s v="C197"/>
        <s v="C163"/>
        <s v="C122"/>
        <s v="C037"/>
        <s v="C093"/>
        <s v="C111"/>
        <s v="C091"/>
        <s v="C156"/>
        <s v="C170"/>
        <s v="C199"/>
        <s v="C176"/>
        <s v="C095"/>
        <s v="C060"/>
        <s v="C061"/>
        <s v="C133"/>
        <s v="C185"/>
        <s v="C077"/>
        <s v="C189"/>
        <s v="C014"/>
        <s v="C079"/>
        <s v="C053"/>
        <s v="C177"/>
        <s v="C168"/>
        <s v="C110"/>
        <s v="C152"/>
        <s v="C049"/>
        <s v="C153"/>
        <s v="C166"/>
        <s v="C019"/>
        <s v="C134"/>
        <s v="C042"/>
        <s v="C146"/>
        <s v="C131"/>
        <s v="C140"/>
        <s v="C101"/>
        <s v="C068"/>
        <s v="C078"/>
        <s v="C075"/>
        <s v="C116"/>
        <s v="C130"/>
        <s v="C175"/>
        <s v="C033"/>
        <s v="C135"/>
        <s v="C104"/>
        <s v="C157"/>
        <s v="C144"/>
        <s v="C081"/>
        <s v="C098"/>
        <s v="C023"/>
        <s v="C076"/>
        <s v="C096"/>
        <s v="C021"/>
        <s v="C136"/>
        <s v="C126"/>
        <s v="C046"/>
        <s v="C029"/>
        <s v="C190"/>
        <s v="C052"/>
        <s v="C132"/>
        <s v="C057"/>
        <s v="C011"/>
        <s v="C071"/>
        <s v="C100"/>
        <s v="C056"/>
        <s v="C090"/>
        <s v="C026"/>
        <s v="C041"/>
        <s v="C162"/>
        <s v="C034"/>
        <s v="C180"/>
        <s v="C004"/>
        <s v="C188"/>
        <s v="C073"/>
        <s v="C065"/>
        <s v="C087"/>
        <s v="C032"/>
        <s v="C031"/>
        <s v="C072"/>
      </sharedItems>
    </cacheField>
    <cacheField name="region" numFmtId="0">
      <sharedItems count="4">
        <s v="West"/>
        <s v="South"/>
        <s v="North"/>
        <s v="East"/>
      </sharedItems>
    </cacheField>
    <cacheField name="order_date" numFmtId="14">
      <sharedItems containsSemiMixedTypes="0" containsNonDate="0" containsDate="1" containsString="0" minDate="2024-01-01T00:00:00" maxDate="2024-12-31T00:00:00"/>
    </cacheField>
    <cacheField name="order_month" numFmtId="0">
      <sharedItems count="12">
        <s v="2024-10"/>
        <s v="2024-03"/>
        <s v="2024-09"/>
        <s v="2024-04"/>
        <s v="2024-07"/>
        <s v="2024-05"/>
        <s v="2024-06"/>
        <s v="2024-01"/>
        <s v="2024-08"/>
        <s v="2024-02"/>
        <s v="2024-11"/>
        <s v="2024-12"/>
      </sharedItems>
    </cacheField>
    <cacheField name="product_category" numFmtId="0">
      <sharedItems count="4">
        <s v="Grocery"/>
        <s v="Furniture"/>
        <s v="Clothing"/>
        <s v="Electronics"/>
      </sharedItems>
    </cacheField>
    <cacheField name="sales" numFmtId="0">
      <sharedItems containsSemiMixedTypes="0" containsString="0" containsNumber="1" minValue="501.93" maxValue="50490.12"/>
    </cacheField>
    <cacheField name="cost_price" numFmtId="0">
      <sharedItems containsSemiMixedTypes="0" containsString="0" containsNumber="1" containsInteger="1" minValue="500" maxValue="30000"/>
    </cacheField>
    <cacheField name="profit" numFmtId="0">
      <sharedItems containsSemiMixedTypes="0" containsString="0" containsNumber="1" minValue="-29498.07" maxValue="49593.69"/>
    </cacheField>
    <cacheField name="profit_margin" numFmtId="0">
      <sharedItems containsSemiMixedTypes="0" containsString="0" containsNumber="1" minValue="-5876.9290540000002" maxValue="99.00186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0001"/>
    <x v="0"/>
    <x v="0"/>
    <d v="2024-10-09T00:00:00"/>
    <x v="0"/>
    <x v="0"/>
    <n v="1880.41"/>
    <n v="500"/>
    <n v="1380.41"/>
    <n v="73.410054000000002"/>
  </r>
  <r>
    <s v="O0002"/>
    <x v="1"/>
    <x v="1"/>
    <d v="2024-03-24T00:00:00"/>
    <x v="1"/>
    <x v="1"/>
    <n v="30119.759999999998"/>
    <n v="12000"/>
    <n v="18119.759999999998"/>
    <n v="60.159044999999999"/>
  </r>
  <r>
    <s v="O0003"/>
    <x v="2"/>
    <x v="1"/>
    <d v="2024-03-06T00:00:00"/>
    <x v="1"/>
    <x v="1"/>
    <n v="4207.9399999999996"/>
    <n v="12000"/>
    <n v="-7792.06"/>
    <n v="-185.17516900000001"/>
  </r>
  <r>
    <s v="O0004"/>
    <x v="3"/>
    <x v="0"/>
    <d v="2024-09-26T00:00:00"/>
    <x v="2"/>
    <x v="1"/>
    <n v="22111.11"/>
    <n v="12000"/>
    <n v="10111.11"/>
    <n v="45.728639999999999"/>
  </r>
  <r>
    <s v="O0005"/>
    <x v="4"/>
    <x v="0"/>
    <d v="2024-04-06T00:00:00"/>
    <x v="3"/>
    <x v="2"/>
    <n v="25856.95"/>
    <n v="2000"/>
    <n v="23856.95"/>
    <n v="92.265135999999998"/>
  </r>
  <r>
    <s v="O0006"/>
    <x v="5"/>
    <x v="0"/>
    <d v="2024-07-30T00:00:00"/>
    <x v="4"/>
    <x v="3"/>
    <n v="508.81"/>
    <n v="30000"/>
    <n v="-29491.19"/>
    <n v="-5796.1105319999997"/>
  </r>
  <r>
    <s v="O0007"/>
    <x v="6"/>
    <x v="0"/>
    <d v="2024-04-26T00:00:00"/>
    <x v="3"/>
    <x v="3"/>
    <n v="1751.33"/>
    <n v="30000"/>
    <n v="-28248.67"/>
    <n v="-1612.983847"/>
  </r>
  <r>
    <s v="O0008"/>
    <x v="7"/>
    <x v="1"/>
    <d v="2024-05-27T00:00:00"/>
    <x v="5"/>
    <x v="3"/>
    <n v="44070.44"/>
    <n v="30000"/>
    <n v="14070.44"/>
    <n v="31.927160000000001"/>
  </r>
  <r>
    <s v="O0009"/>
    <x v="8"/>
    <x v="2"/>
    <d v="2024-06-14T00:00:00"/>
    <x v="6"/>
    <x v="2"/>
    <n v="12826.43"/>
    <n v="2000"/>
    <n v="10826.43"/>
    <n v="84.407196999999996"/>
  </r>
  <r>
    <s v="O0010"/>
    <x v="9"/>
    <x v="2"/>
    <d v="2024-01-18T00:00:00"/>
    <x v="7"/>
    <x v="1"/>
    <n v="44364.41"/>
    <n v="12000"/>
    <n v="32364.41"/>
    <n v="72.951290999999998"/>
  </r>
  <r>
    <s v="O0011"/>
    <x v="10"/>
    <x v="2"/>
    <d v="2024-08-31T00:00:00"/>
    <x v="8"/>
    <x v="2"/>
    <n v="5188.28"/>
    <n v="2000"/>
    <n v="3188.28"/>
    <n v="61.451579000000002"/>
  </r>
  <r>
    <s v="O0012"/>
    <x v="3"/>
    <x v="0"/>
    <d v="2024-02-01T00:00:00"/>
    <x v="9"/>
    <x v="3"/>
    <n v="6661.19"/>
    <n v="30000"/>
    <n v="-23338.81"/>
    <n v="-350.369979"/>
  </r>
  <r>
    <s v="O0013"/>
    <x v="1"/>
    <x v="1"/>
    <d v="2024-08-27T00:00:00"/>
    <x v="8"/>
    <x v="2"/>
    <n v="49005.58"/>
    <n v="2000"/>
    <n v="47005.58"/>
    <n v="95.918831999999995"/>
  </r>
  <r>
    <s v="O0014"/>
    <x v="11"/>
    <x v="1"/>
    <d v="2024-05-29T00:00:00"/>
    <x v="5"/>
    <x v="1"/>
    <n v="49068.959999999999"/>
    <n v="12000"/>
    <n v="37068.959999999999"/>
    <n v="75.544621000000006"/>
  </r>
  <r>
    <s v="O0015"/>
    <x v="12"/>
    <x v="2"/>
    <d v="2024-04-03T00:00:00"/>
    <x v="3"/>
    <x v="0"/>
    <n v="2861.48"/>
    <n v="500"/>
    <n v="2361.48"/>
    <n v="82.526525000000007"/>
  </r>
  <r>
    <s v="O0016"/>
    <x v="13"/>
    <x v="2"/>
    <d v="2024-11-17T00:00:00"/>
    <x v="10"/>
    <x v="2"/>
    <n v="31425.42"/>
    <n v="2000"/>
    <n v="29425.42"/>
    <n v="93.635724999999994"/>
  </r>
  <r>
    <s v="O0017"/>
    <x v="14"/>
    <x v="2"/>
    <d v="2024-09-27T00:00:00"/>
    <x v="2"/>
    <x v="3"/>
    <n v="41652.78"/>
    <n v="30000"/>
    <n v="11652.78"/>
    <n v="27.975995999999999"/>
  </r>
  <r>
    <s v="O0018"/>
    <x v="15"/>
    <x v="0"/>
    <d v="2024-06-04T00:00:00"/>
    <x v="6"/>
    <x v="3"/>
    <n v="35970.18"/>
    <n v="30000"/>
    <n v="5970.18"/>
    <n v="16.597581999999999"/>
  </r>
  <r>
    <s v="O0019"/>
    <x v="16"/>
    <x v="3"/>
    <d v="2024-04-24T00:00:00"/>
    <x v="3"/>
    <x v="2"/>
    <n v="18892.98"/>
    <n v="2000"/>
    <n v="16892.98"/>
    <n v="89.414057"/>
  </r>
  <r>
    <s v="O0020"/>
    <x v="17"/>
    <x v="2"/>
    <d v="2024-04-23T00:00:00"/>
    <x v="3"/>
    <x v="3"/>
    <n v="10886.58"/>
    <n v="30000"/>
    <n v="-19113.419999999998"/>
    <n v="-175.568636"/>
  </r>
  <r>
    <s v="O0021"/>
    <x v="18"/>
    <x v="2"/>
    <d v="2024-11-14T00:00:00"/>
    <x v="10"/>
    <x v="0"/>
    <n v="1221.29"/>
    <n v="500"/>
    <n v="721.29"/>
    <n v="59.059683"/>
  </r>
  <r>
    <s v="O0022"/>
    <x v="19"/>
    <x v="3"/>
    <d v="2024-03-06T00:00:00"/>
    <x v="1"/>
    <x v="2"/>
    <n v="40462.32"/>
    <n v="2000"/>
    <n v="38462.32"/>
    <n v="95.057130000000001"/>
  </r>
  <r>
    <s v="O0023"/>
    <x v="20"/>
    <x v="3"/>
    <d v="2024-11-09T00:00:00"/>
    <x v="10"/>
    <x v="2"/>
    <n v="19645.669999999998"/>
    <n v="2000"/>
    <n v="17645.669999999998"/>
    <n v="89.819640000000007"/>
  </r>
  <r>
    <s v="O0024"/>
    <x v="21"/>
    <x v="2"/>
    <d v="2024-04-21T00:00:00"/>
    <x v="3"/>
    <x v="0"/>
    <n v="29524.27"/>
    <n v="500"/>
    <n v="29024.27"/>
    <n v="98.306477999999998"/>
  </r>
  <r>
    <s v="O0025"/>
    <x v="22"/>
    <x v="1"/>
    <d v="2024-09-25T00:00:00"/>
    <x v="2"/>
    <x v="0"/>
    <n v="8908.5499999999993"/>
    <n v="500"/>
    <n v="8408.5499999999993"/>
    <n v="94.387414000000007"/>
  </r>
  <r>
    <s v="O0026"/>
    <x v="23"/>
    <x v="2"/>
    <d v="2024-03-16T00:00:00"/>
    <x v="1"/>
    <x v="1"/>
    <n v="50207.37"/>
    <n v="12000"/>
    <n v="38207.370000000003"/>
    <n v="76.099125999999998"/>
  </r>
  <r>
    <s v="O0027"/>
    <x v="24"/>
    <x v="3"/>
    <d v="2024-02-18T00:00:00"/>
    <x v="9"/>
    <x v="2"/>
    <n v="25595.98"/>
    <n v="2000"/>
    <n v="23595.98"/>
    <n v="92.186273"/>
  </r>
  <r>
    <s v="O0028"/>
    <x v="25"/>
    <x v="1"/>
    <d v="2024-05-27T00:00:00"/>
    <x v="5"/>
    <x v="0"/>
    <n v="38180.67"/>
    <n v="500"/>
    <n v="37680.67"/>
    <n v="98.690437000000003"/>
  </r>
  <r>
    <s v="O0029"/>
    <x v="26"/>
    <x v="3"/>
    <d v="2024-01-14T00:00:00"/>
    <x v="7"/>
    <x v="3"/>
    <n v="31161.37"/>
    <n v="30000"/>
    <n v="1161.3699999999999"/>
    <n v="3.7269540000000001"/>
  </r>
  <r>
    <s v="O0030"/>
    <x v="27"/>
    <x v="2"/>
    <d v="2024-09-07T00:00:00"/>
    <x v="2"/>
    <x v="1"/>
    <n v="19627.490000000002"/>
    <n v="12000"/>
    <n v="7627.49"/>
    <n v="38.861260000000001"/>
  </r>
  <r>
    <s v="O0031"/>
    <x v="28"/>
    <x v="1"/>
    <d v="2024-01-25T00:00:00"/>
    <x v="7"/>
    <x v="3"/>
    <n v="12829.74"/>
    <n v="30000"/>
    <n v="-17170.259999999998"/>
    <n v="-133.83170699999999"/>
  </r>
  <r>
    <s v="O0032"/>
    <x v="29"/>
    <x v="0"/>
    <d v="2024-07-19T00:00:00"/>
    <x v="4"/>
    <x v="1"/>
    <n v="38896.559999999998"/>
    <n v="12000"/>
    <n v="26896.560000000001"/>
    <n v="69.148943000000003"/>
  </r>
  <r>
    <s v="O0033"/>
    <x v="30"/>
    <x v="0"/>
    <d v="2024-01-06T00:00:00"/>
    <x v="7"/>
    <x v="3"/>
    <n v="39307.040000000001"/>
    <n v="30000"/>
    <n v="9307.0400000000009"/>
    <n v="23.677793999999999"/>
  </r>
  <r>
    <s v="O0034"/>
    <x v="31"/>
    <x v="1"/>
    <d v="2024-12-06T00:00:00"/>
    <x v="11"/>
    <x v="0"/>
    <n v="10523.82"/>
    <n v="500"/>
    <n v="10023.82"/>
    <n v="95.248874000000001"/>
  </r>
  <r>
    <s v="O0035"/>
    <x v="32"/>
    <x v="2"/>
    <d v="2024-04-16T00:00:00"/>
    <x v="3"/>
    <x v="3"/>
    <n v="5532.07"/>
    <n v="30000"/>
    <n v="-24467.93"/>
    <n v="-442.29248699999999"/>
  </r>
  <r>
    <s v="O0036"/>
    <x v="33"/>
    <x v="1"/>
    <d v="2024-09-06T00:00:00"/>
    <x v="2"/>
    <x v="2"/>
    <n v="37013.660000000003"/>
    <n v="2000"/>
    <n v="35013.660000000003"/>
    <n v="94.596588999999994"/>
  </r>
  <r>
    <s v="O0037"/>
    <x v="34"/>
    <x v="1"/>
    <d v="2024-08-28T00:00:00"/>
    <x v="8"/>
    <x v="3"/>
    <n v="35357.1"/>
    <n v="30000"/>
    <n v="5357.1"/>
    <n v="15.151412000000001"/>
  </r>
  <r>
    <s v="O0038"/>
    <x v="35"/>
    <x v="0"/>
    <d v="2024-04-16T00:00:00"/>
    <x v="3"/>
    <x v="2"/>
    <n v="41908.89"/>
    <n v="2000"/>
    <n v="39908.89"/>
    <n v="95.227743000000004"/>
  </r>
  <r>
    <s v="O0039"/>
    <x v="36"/>
    <x v="3"/>
    <d v="2024-12-27T00:00:00"/>
    <x v="11"/>
    <x v="2"/>
    <n v="8344.44"/>
    <n v="2000"/>
    <n v="6344.44"/>
    <n v="76.031944999999993"/>
  </r>
  <r>
    <s v="O0040"/>
    <x v="37"/>
    <x v="3"/>
    <d v="2024-08-05T00:00:00"/>
    <x v="8"/>
    <x v="0"/>
    <n v="8686.24"/>
    <n v="500"/>
    <n v="8186.24"/>
    <n v="94.243769"/>
  </r>
  <r>
    <s v="O0041"/>
    <x v="38"/>
    <x v="2"/>
    <d v="2024-05-22T00:00:00"/>
    <x v="5"/>
    <x v="2"/>
    <n v="19003.13"/>
    <n v="2000"/>
    <n v="17003.13"/>
    <n v="89.475418000000005"/>
  </r>
  <r>
    <s v="O0042"/>
    <x v="39"/>
    <x v="3"/>
    <d v="2024-06-14T00:00:00"/>
    <x v="6"/>
    <x v="2"/>
    <n v="3359.63"/>
    <n v="2000"/>
    <n v="1359.63"/>
    <n v="40.469634999999997"/>
  </r>
  <r>
    <s v="O0043"/>
    <x v="40"/>
    <x v="1"/>
    <d v="2024-05-06T00:00:00"/>
    <x v="5"/>
    <x v="2"/>
    <n v="22198.2"/>
    <n v="2000"/>
    <n v="20198.2"/>
    <n v="90.990260000000006"/>
  </r>
  <r>
    <s v="O0044"/>
    <x v="41"/>
    <x v="1"/>
    <d v="2024-06-02T00:00:00"/>
    <x v="6"/>
    <x v="2"/>
    <n v="10461.709999999999"/>
    <n v="2000"/>
    <n v="8461.7099999999991"/>
    <n v="80.882666"/>
  </r>
  <r>
    <s v="O0045"/>
    <x v="42"/>
    <x v="3"/>
    <d v="2024-03-31T00:00:00"/>
    <x v="1"/>
    <x v="3"/>
    <n v="21365.89"/>
    <n v="30000"/>
    <n v="-8634.11"/>
    <n v="-40.410719999999998"/>
  </r>
  <r>
    <s v="O0046"/>
    <x v="43"/>
    <x v="0"/>
    <d v="2024-05-07T00:00:00"/>
    <x v="5"/>
    <x v="2"/>
    <n v="6990.48"/>
    <n v="2000"/>
    <n v="4990.4799999999996"/>
    <n v="71.389661000000004"/>
  </r>
  <r>
    <s v="O0047"/>
    <x v="27"/>
    <x v="2"/>
    <d v="2024-05-09T00:00:00"/>
    <x v="5"/>
    <x v="0"/>
    <n v="3552.06"/>
    <n v="500"/>
    <n v="3052.06"/>
    <n v="85.923660999999996"/>
  </r>
  <r>
    <s v="O0048"/>
    <x v="44"/>
    <x v="3"/>
    <d v="2024-05-13T00:00:00"/>
    <x v="5"/>
    <x v="0"/>
    <n v="25107.29"/>
    <n v="500"/>
    <n v="24607.29"/>
    <n v="98.008546999999993"/>
  </r>
  <r>
    <s v="O0049"/>
    <x v="45"/>
    <x v="3"/>
    <d v="2024-02-16T00:00:00"/>
    <x v="9"/>
    <x v="1"/>
    <n v="4599.3100000000004"/>
    <n v="12000"/>
    <n v="-7400.69"/>
    <n v="-160.90870200000001"/>
  </r>
  <r>
    <s v="O0050"/>
    <x v="46"/>
    <x v="3"/>
    <d v="2024-03-31T00:00:00"/>
    <x v="1"/>
    <x v="3"/>
    <n v="17418.09"/>
    <n v="30000"/>
    <n v="-12581.91"/>
    <n v="-72.234728000000004"/>
  </r>
  <r>
    <s v="O0051"/>
    <x v="47"/>
    <x v="1"/>
    <d v="2024-01-19T00:00:00"/>
    <x v="7"/>
    <x v="2"/>
    <n v="8557.85"/>
    <n v="2000"/>
    <n v="6557.85"/>
    <n v="76.629643999999999"/>
  </r>
  <r>
    <s v="O0052"/>
    <x v="48"/>
    <x v="2"/>
    <d v="2024-08-15T00:00:00"/>
    <x v="8"/>
    <x v="1"/>
    <n v="24734.560000000001"/>
    <n v="12000"/>
    <n v="12734.56"/>
    <n v="51.484886000000003"/>
  </r>
  <r>
    <s v="O0053"/>
    <x v="49"/>
    <x v="3"/>
    <d v="2024-02-12T00:00:00"/>
    <x v="9"/>
    <x v="0"/>
    <n v="38415.14"/>
    <n v="500"/>
    <n v="37915.14"/>
    <n v="98.698430000000002"/>
  </r>
  <r>
    <s v="O0054"/>
    <x v="50"/>
    <x v="2"/>
    <d v="2024-10-08T00:00:00"/>
    <x v="0"/>
    <x v="0"/>
    <n v="36343.230000000003"/>
    <n v="500"/>
    <n v="35843.230000000003"/>
    <n v="98.624228000000002"/>
  </r>
  <r>
    <s v="O0055"/>
    <x v="51"/>
    <x v="0"/>
    <d v="2024-12-04T00:00:00"/>
    <x v="11"/>
    <x v="2"/>
    <n v="5885.51"/>
    <n v="2000"/>
    <n v="3885.51"/>
    <n v="66.018237999999997"/>
  </r>
  <r>
    <s v="O0056"/>
    <x v="43"/>
    <x v="0"/>
    <d v="2024-02-06T00:00:00"/>
    <x v="9"/>
    <x v="1"/>
    <n v="34226.76"/>
    <n v="12000"/>
    <n v="22226.76"/>
    <n v="64.939713999999995"/>
  </r>
  <r>
    <s v="O0057"/>
    <x v="52"/>
    <x v="1"/>
    <d v="2024-12-20T00:00:00"/>
    <x v="11"/>
    <x v="3"/>
    <n v="38797.519999999997"/>
    <n v="30000"/>
    <n v="8797.52"/>
    <n v="22.675470000000001"/>
  </r>
  <r>
    <s v="O0058"/>
    <x v="53"/>
    <x v="0"/>
    <d v="2024-10-28T00:00:00"/>
    <x v="0"/>
    <x v="2"/>
    <n v="43742.559999999998"/>
    <n v="2000"/>
    <n v="41742.559999999998"/>
    <n v="95.427794000000006"/>
  </r>
  <r>
    <s v="O0059"/>
    <x v="54"/>
    <x v="3"/>
    <d v="2024-01-28T00:00:00"/>
    <x v="7"/>
    <x v="1"/>
    <n v="26984.66"/>
    <n v="12000"/>
    <n v="14984.66"/>
    <n v="55.530290000000001"/>
  </r>
  <r>
    <s v="O0060"/>
    <x v="55"/>
    <x v="2"/>
    <d v="2024-03-08T00:00:00"/>
    <x v="1"/>
    <x v="2"/>
    <n v="7430.16"/>
    <n v="2000"/>
    <n v="5430.16"/>
    <n v="73.082678999999999"/>
  </r>
  <r>
    <s v="O0061"/>
    <x v="44"/>
    <x v="3"/>
    <d v="2024-06-03T00:00:00"/>
    <x v="6"/>
    <x v="3"/>
    <n v="36715.589999999997"/>
    <n v="30000"/>
    <n v="6715.59"/>
    <n v="18.290839999999999"/>
  </r>
  <r>
    <s v="O0062"/>
    <x v="56"/>
    <x v="1"/>
    <d v="2024-09-24T00:00:00"/>
    <x v="2"/>
    <x v="0"/>
    <n v="34469.99"/>
    <n v="500"/>
    <n v="33969.99"/>
    <n v="98.549463000000003"/>
  </r>
  <r>
    <s v="O0063"/>
    <x v="57"/>
    <x v="3"/>
    <d v="2024-05-09T00:00:00"/>
    <x v="5"/>
    <x v="0"/>
    <n v="5853.45"/>
    <n v="500"/>
    <n v="5353.45"/>
    <n v="91.458028999999996"/>
  </r>
  <r>
    <s v="O0064"/>
    <x v="58"/>
    <x v="1"/>
    <d v="2024-02-10T00:00:00"/>
    <x v="9"/>
    <x v="3"/>
    <n v="42138.49"/>
    <n v="30000"/>
    <n v="12138.49"/>
    <n v="28.806182"/>
  </r>
  <r>
    <s v="O0065"/>
    <x v="53"/>
    <x v="0"/>
    <d v="2024-11-20T00:00:00"/>
    <x v="10"/>
    <x v="0"/>
    <n v="16382.37"/>
    <n v="500"/>
    <n v="15882.37"/>
    <n v="96.947939000000005"/>
  </r>
  <r>
    <s v="O0066"/>
    <x v="59"/>
    <x v="2"/>
    <d v="2024-05-25T00:00:00"/>
    <x v="5"/>
    <x v="0"/>
    <n v="8840.35"/>
    <n v="500"/>
    <n v="8340.35"/>
    <n v="94.344115000000002"/>
  </r>
  <r>
    <s v="O0067"/>
    <x v="60"/>
    <x v="3"/>
    <d v="2024-04-21T00:00:00"/>
    <x v="3"/>
    <x v="0"/>
    <n v="43109.86"/>
    <n v="500"/>
    <n v="42609.86"/>
    <n v="98.840172999999993"/>
  </r>
  <r>
    <s v="O0068"/>
    <x v="61"/>
    <x v="0"/>
    <d v="2024-03-07T00:00:00"/>
    <x v="1"/>
    <x v="2"/>
    <n v="23331.93"/>
    <n v="2000"/>
    <n v="21331.93"/>
    <n v="91.428055999999998"/>
  </r>
  <r>
    <s v="O0069"/>
    <x v="45"/>
    <x v="3"/>
    <d v="2024-10-11T00:00:00"/>
    <x v="0"/>
    <x v="0"/>
    <n v="23399.14"/>
    <n v="500"/>
    <n v="22899.14"/>
    <n v="97.863168999999999"/>
  </r>
  <r>
    <s v="O0070"/>
    <x v="51"/>
    <x v="0"/>
    <d v="2024-05-27T00:00:00"/>
    <x v="5"/>
    <x v="0"/>
    <n v="28568.41"/>
    <n v="500"/>
    <n v="28068.41"/>
    <n v="98.249814999999998"/>
  </r>
  <r>
    <s v="O0071"/>
    <x v="62"/>
    <x v="2"/>
    <d v="2024-04-29T00:00:00"/>
    <x v="3"/>
    <x v="2"/>
    <n v="36916.36"/>
    <n v="2000"/>
    <n v="34916.36"/>
    <n v="94.582347999999996"/>
  </r>
  <r>
    <s v="O0072"/>
    <x v="63"/>
    <x v="1"/>
    <d v="2024-06-02T00:00:00"/>
    <x v="6"/>
    <x v="1"/>
    <n v="44014.17"/>
    <n v="12000"/>
    <n v="32014.17"/>
    <n v="72.736052999999998"/>
  </r>
  <r>
    <s v="O0073"/>
    <x v="64"/>
    <x v="2"/>
    <d v="2024-06-27T00:00:00"/>
    <x v="6"/>
    <x v="3"/>
    <n v="34722.97"/>
    <n v="30000"/>
    <n v="4722.97"/>
    <n v="13.601861"/>
  </r>
  <r>
    <s v="O0074"/>
    <x v="60"/>
    <x v="3"/>
    <d v="2024-10-08T00:00:00"/>
    <x v="0"/>
    <x v="3"/>
    <n v="5436.32"/>
    <n v="30000"/>
    <n v="-24563.68"/>
    <n v="-451.84389399999998"/>
  </r>
  <r>
    <s v="O0075"/>
    <x v="65"/>
    <x v="3"/>
    <d v="2024-12-02T00:00:00"/>
    <x v="11"/>
    <x v="0"/>
    <n v="15399.59"/>
    <n v="500"/>
    <n v="14899.59"/>
    <n v="96.753159999999994"/>
  </r>
  <r>
    <s v="O0076"/>
    <x v="66"/>
    <x v="2"/>
    <d v="2024-09-07T00:00:00"/>
    <x v="2"/>
    <x v="1"/>
    <n v="27868.3"/>
    <n v="12000"/>
    <n v="15868.3"/>
    <n v="56.940322999999999"/>
  </r>
  <r>
    <s v="O0077"/>
    <x v="67"/>
    <x v="0"/>
    <d v="2024-11-01T00:00:00"/>
    <x v="10"/>
    <x v="1"/>
    <n v="48138.12"/>
    <n v="12000"/>
    <n v="36138.120000000003"/>
    <n v="75.071731"/>
  </r>
  <r>
    <s v="O0078"/>
    <x v="4"/>
    <x v="0"/>
    <d v="2024-12-09T00:00:00"/>
    <x v="11"/>
    <x v="3"/>
    <n v="16227.16"/>
    <n v="30000"/>
    <n v="-13772.84"/>
    <n v="-84.875234000000006"/>
  </r>
  <r>
    <s v="O0079"/>
    <x v="68"/>
    <x v="3"/>
    <d v="2024-02-05T00:00:00"/>
    <x v="9"/>
    <x v="0"/>
    <n v="22003.1"/>
    <n v="500"/>
    <n v="21503.1"/>
    <n v="97.727592999999999"/>
  </r>
  <r>
    <s v="O0080"/>
    <x v="69"/>
    <x v="0"/>
    <d v="2024-07-06T00:00:00"/>
    <x v="4"/>
    <x v="2"/>
    <n v="45876.73"/>
    <n v="2000"/>
    <n v="43876.73"/>
    <n v="95.640490999999997"/>
  </r>
  <r>
    <s v="O0081"/>
    <x v="31"/>
    <x v="1"/>
    <d v="2024-09-13T00:00:00"/>
    <x v="2"/>
    <x v="2"/>
    <n v="5930"/>
    <n v="2000"/>
    <n v="3930"/>
    <n v="66.273186999999993"/>
  </r>
  <r>
    <s v="O0082"/>
    <x v="70"/>
    <x v="0"/>
    <d v="2024-11-26T00:00:00"/>
    <x v="10"/>
    <x v="1"/>
    <n v="33211.64"/>
    <n v="12000"/>
    <n v="21211.64"/>
    <n v="63.868090000000002"/>
  </r>
  <r>
    <s v="O0083"/>
    <x v="33"/>
    <x v="1"/>
    <d v="2024-02-01T00:00:00"/>
    <x v="9"/>
    <x v="2"/>
    <n v="30679.33"/>
    <n v="2000"/>
    <n v="28679.33"/>
    <n v="93.480953"/>
  </r>
  <r>
    <s v="O0084"/>
    <x v="26"/>
    <x v="3"/>
    <d v="2024-07-11T00:00:00"/>
    <x v="4"/>
    <x v="2"/>
    <n v="16091.45"/>
    <n v="2000"/>
    <n v="14091.45"/>
    <n v="87.571038999999999"/>
  </r>
  <r>
    <s v="O0085"/>
    <x v="71"/>
    <x v="3"/>
    <d v="2024-06-16T00:00:00"/>
    <x v="6"/>
    <x v="2"/>
    <n v="14314.01"/>
    <n v="2000"/>
    <n v="12314.01"/>
    <n v="86.027675000000002"/>
  </r>
  <r>
    <s v="O0086"/>
    <x v="72"/>
    <x v="0"/>
    <d v="2024-01-29T00:00:00"/>
    <x v="7"/>
    <x v="0"/>
    <n v="37443.160000000003"/>
    <n v="500"/>
    <n v="36943.160000000003"/>
    <n v="98.664642999999998"/>
  </r>
  <r>
    <s v="O0087"/>
    <x v="25"/>
    <x v="1"/>
    <d v="2024-08-01T00:00:00"/>
    <x v="8"/>
    <x v="0"/>
    <n v="34865.449999999997"/>
    <n v="500"/>
    <n v="34365.449999999997"/>
    <n v="98.565916000000001"/>
  </r>
  <r>
    <s v="O0088"/>
    <x v="73"/>
    <x v="3"/>
    <d v="2024-09-10T00:00:00"/>
    <x v="2"/>
    <x v="3"/>
    <n v="12353.31"/>
    <n v="30000"/>
    <n v="-17646.689999999999"/>
    <n v="-142.84989200000001"/>
  </r>
  <r>
    <s v="O0089"/>
    <x v="74"/>
    <x v="1"/>
    <d v="2024-04-17T00:00:00"/>
    <x v="3"/>
    <x v="2"/>
    <n v="33326.44"/>
    <n v="2000"/>
    <n v="31326.44"/>
    <n v="93.998759000000007"/>
  </r>
  <r>
    <s v="O0090"/>
    <x v="75"/>
    <x v="3"/>
    <d v="2024-08-22T00:00:00"/>
    <x v="8"/>
    <x v="2"/>
    <n v="39149.300000000003"/>
    <n v="2000"/>
    <n v="37149.300000000003"/>
    <n v="94.891351999999998"/>
  </r>
  <r>
    <s v="O0091"/>
    <x v="52"/>
    <x v="1"/>
    <d v="2024-08-07T00:00:00"/>
    <x v="8"/>
    <x v="1"/>
    <n v="31388.21"/>
    <n v="12000"/>
    <n v="19388.21"/>
    <n v="61.769084999999997"/>
  </r>
  <r>
    <s v="O0092"/>
    <x v="76"/>
    <x v="1"/>
    <d v="2024-12-01T00:00:00"/>
    <x v="11"/>
    <x v="2"/>
    <n v="18835.509999999998"/>
    <n v="2000"/>
    <n v="16835.509999999998"/>
    <n v="89.381758000000005"/>
  </r>
  <r>
    <s v="O0093"/>
    <x v="26"/>
    <x v="3"/>
    <d v="2024-07-18T00:00:00"/>
    <x v="4"/>
    <x v="2"/>
    <n v="39541.410000000003"/>
    <n v="2000"/>
    <n v="37541.410000000003"/>
    <n v="94.942010999999994"/>
  </r>
  <r>
    <s v="O0094"/>
    <x v="8"/>
    <x v="2"/>
    <d v="2024-01-06T00:00:00"/>
    <x v="7"/>
    <x v="1"/>
    <n v="31049.72"/>
    <n v="12000"/>
    <n v="19049.72"/>
    <n v="61.352308000000001"/>
  </r>
  <r>
    <s v="O0095"/>
    <x v="77"/>
    <x v="0"/>
    <d v="2024-03-18T00:00:00"/>
    <x v="1"/>
    <x v="2"/>
    <n v="24278.75"/>
    <n v="2000"/>
    <n v="22278.75"/>
    <n v="91.762343999999999"/>
  </r>
  <r>
    <s v="O0096"/>
    <x v="78"/>
    <x v="2"/>
    <d v="2024-01-31T00:00:00"/>
    <x v="7"/>
    <x v="3"/>
    <n v="568.96"/>
    <n v="30000"/>
    <n v="-29431.040000000001"/>
    <n v="-5172.7784030000003"/>
  </r>
  <r>
    <s v="O0097"/>
    <x v="79"/>
    <x v="2"/>
    <d v="2024-10-18T00:00:00"/>
    <x v="0"/>
    <x v="3"/>
    <n v="23986.71"/>
    <n v="30000"/>
    <n v="-6013.29"/>
    <n v="-25.069257"/>
  </r>
  <r>
    <s v="O0098"/>
    <x v="80"/>
    <x v="0"/>
    <d v="2024-03-17T00:00:00"/>
    <x v="1"/>
    <x v="0"/>
    <n v="26645.18"/>
    <n v="500"/>
    <n v="26145.18"/>
    <n v="98.123487999999995"/>
  </r>
  <r>
    <s v="O0099"/>
    <x v="81"/>
    <x v="3"/>
    <d v="2024-11-08T00:00:00"/>
    <x v="10"/>
    <x v="3"/>
    <n v="7373.01"/>
    <n v="30000"/>
    <n v="-22626.99"/>
    <n v="-306.88945200000001"/>
  </r>
  <r>
    <s v="O0100"/>
    <x v="82"/>
    <x v="0"/>
    <d v="2024-10-16T00:00:00"/>
    <x v="0"/>
    <x v="3"/>
    <n v="34917.360000000001"/>
    <n v="30000"/>
    <n v="4917.3599999999997"/>
    <n v="14.082852000000001"/>
  </r>
  <r>
    <s v="O0101"/>
    <x v="65"/>
    <x v="3"/>
    <d v="2024-04-08T00:00:00"/>
    <x v="3"/>
    <x v="2"/>
    <n v="45967.92"/>
    <n v="2000"/>
    <n v="43967.92"/>
    <n v="95.649140000000003"/>
  </r>
  <r>
    <s v="O0102"/>
    <x v="83"/>
    <x v="1"/>
    <d v="2024-07-16T00:00:00"/>
    <x v="4"/>
    <x v="3"/>
    <n v="2262.21"/>
    <n v="30000"/>
    <n v="-27737.79"/>
    <n v="-1226.136831"/>
  </r>
  <r>
    <s v="O0103"/>
    <x v="84"/>
    <x v="3"/>
    <d v="2024-08-19T00:00:00"/>
    <x v="8"/>
    <x v="0"/>
    <n v="1064.03"/>
    <n v="500"/>
    <n v="564.03"/>
    <n v="53.008844000000003"/>
  </r>
  <r>
    <s v="O0104"/>
    <x v="68"/>
    <x v="3"/>
    <d v="2024-06-11T00:00:00"/>
    <x v="6"/>
    <x v="2"/>
    <n v="4234.43"/>
    <n v="2000"/>
    <n v="2234.4299999999998"/>
    <n v="52.768141"/>
  </r>
  <r>
    <s v="O0105"/>
    <x v="19"/>
    <x v="3"/>
    <d v="2024-01-27T00:00:00"/>
    <x v="7"/>
    <x v="3"/>
    <n v="21725.97"/>
    <n v="30000"/>
    <n v="-8274.0300000000007"/>
    <n v="-38.083593"/>
  </r>
  <r>
    <s v="O0106"/>
    <x v="85"/>
    <x v="3"/>
    <d v="2024-11-16T00:00:00"/>
    <x v="10"/>
    <x v="3"/>
    <n v="1340.61"/>
    <n v="30000"/>
    <n v="-28659.39"/>
    <n v="-2137.787276"/>
  </r>
  <r>
    <s v="O0107"/>
    <x v="86"/>
    <x v="3"/>
    <d v="2024-01-18T00:00:00"/>
    <x v="7"/>
    <x v="0"/>
    <n v="32493.33"/>
    <n v="500"/>
    <n v="31993.33"/>
    <n v="98.461223000000004"/>
  </r>
  <r>
    <s v="O0108"/>
    <x v="87"/>
    <x v="2"/>
    <d v="2024-08-31T00:00:00"/>
    <x v="8"/>
    <x v="3"/>
    <n v="36398.43"/>
    <n v="30000"/>
    <n v="6398.43"/>
    <n v="17.578862999999998"/>
  </r>
  <r>
    <s v="O0109"/>
    <x v="16"/>
    <x v="3"/>
    <d v="2024-09-05T00:00:00"/>
    <x v="2"/>
    <x v="2"/>
    <n v="26300.18"/>
    <n v="2000"/>
    <n v="24300.18"/>
    <n v="92.395488999999998"/>
  </r>
  <r>
    <s v="O0110"/>
    <x v="26"/>
    <x v="3"/>
    <d v="2024-04-07T00:00:00"/>
    <x v="3"/>
    <x v="1"/>
    <n v="32452.39"/>
    <n v="12000"/>
    <n v="20452.39"/>
    <n v="63.022753999999999"/>
  </r>
  <r>
    <s v="O0111"/>
    <x v="38"/>
    <x v="2"/>
    <d v="2024-09-29T00:00:00"/>
    <x v="2"/>
    <x v="1"/>
    <n v="10829.99"/>
    <n v="12000"/>
    <n v="-1170.01"/>
    <n v="-10.803426"/>
  </r>
  <r>
    <s v="O0112"/>
    <x v="47"/>
    <x v="1"/>
    <d v="2024-04-15T00:00:00"/>
    <x v="3"/>
    <x v="0"/>
    <n v="22807.56"/>
    <n v="500"/>
    <n v="22307.56"/>
    <n v="97.807744"/>
  </r>
  <r>
    <s v="O0113"/>
    <x v="88"/>
    <x v="3"/>
    <d v="2024-05-26T00:00:00"/>
    <x v="5"/>
    <x v="1"/>
    <n v="43967.62"/>
    <n v="12000"/>
    <n v="31967.62"/>
    <n v="72.707188000000002"/>
  </r>
  <r>
    <s v="O0114"/>
    <x v="89"/>
    <x v="1"/>
    <d v="2024-03-13T00:00:00"/>
    <x v="1"/>
    <x v="1"/>
    <n v="44508.94"/>
    <n v="12000"/>
    <n v="32508.94"/>
    <n v="73.039124000000001"/>
  </r>
  <r>
    <s v="O0115"/>
    <x v="90"/>
    <x v="0"/>
    <d v="2024-02-01T00:00:00"/>
    <x v="9"/>
    <x v="2"/>
    <n v="1057.33"/>
    <n v="2000"/>
    <n v="-942.67"/>
    <n v="-89.155704"/>
  </r>
  <r>
    <s v="O0116"/>
    <x v="91"/>
    <x v="2"/>
    <d v="2024-11-30T00:00:00"/>
    <x v="10"/>
    <x v="1"/>
    <n v="28386.14"/>
    <n v="12000"/>
    <n v="16386.14"/>
    <n v="57.725847999999999"/>
  </r>
  <r>
    <s v="O0117"/>
    <x v="50"/>
    <x v="2"/>
    <d v="2024-09-25T00:00:00"/>
    <x v="2"/>
    <x v="2"/>
    <n v="47124.63"/>
    <n v="2000"/>
    <n v="45124.63"/>
    <n v="95.755934999999994"/>
  </r>
  <r>
    <s v="O0118"/>
    <x v="92"/>
    <x v="3"/>
    <d v="2024-02-25T00:00:00"/>
    <x v="9"/>
    <x v="1"/>
    <n v="45507.01"/>
    <n v="12000"/>
    <n v="33507.01"/>
    <n v="73.630436000000003"/>
  </r>
  <r>
    <s v="O0119"/>
    <x v="34"/>
    <x v="1"/>
    <d v="2024-05-12T00:00:00"/>
    <x v="5"/>
    <x v="2"/>
    <n v="6051.96"/>
    <n v="2000"/>
    <n v="4051.96"/>
    <n v="66.952855"/>
  </r>
  <r>
    <s v="O0120"/>
    <x v="93"/>
    <x v="1"/>
    <d v="2024-05-10T00:00:00"/>
    <x v="5"/>
    <x v="3"/>
    <n v="2936.17"/>
    <n v="30000"/>
    <n v="-27063.83"/>
    <n v="-921.73920399999997"/>
  </r>
  <r>
    <s v="O0121"/>
    <x v="94"/>
    <x v="1"/>
    <d v="2024-11-03T00:00:00"/>
    <x v="10"/>
    <x v="3"/>
    <n v="44728.41"/>
    <n v="30000"/>
    <n v="14728.41"/>
    <n v="32.928534999999997"/>
  </r>
  <r>
    <s v="O0122"/>
    <x v="95"/>
    <x v="2"/>
    <d v="2024-07-19T00:00:00"/>
    <x v="4"/>
    <x v="3"/>
    <n v="45424.2"/>
    <n v="30000"/>
    <n v="15424.2"/>
    <n v="33.955908999999998"/>
  </r>
  <r>
    <s v="O0123"/>
    <x v="96"/>
    <x v="3"/>
    <d v="2024-02-04T00:00:00"/>
    <x v="9"/>
    <x v="3"/>
    <n v="16188.31"/>
    <n v="30000"/>
    <n v="-13811.69"/>
    <n v="-85.318911999999997"/>
  </r>
  <r>
    <s v="O0124"/>
    <x v="78"/>
    <x v="2"/>
    <d v="2024-12-19T00:00:00"/>
    <x v="11"/>
    <x v="1"/>
    <n v="24175.83"/>
    <n v="12000"/>
    <n v="12175.83"/>
    <n v="50.363647999999998"/>
  </r>
  <r>
    <s v="O0125"/>
    <x v="33"/>
    <x v="1"/>
    <d v="2024-08-12T00:00:00"/>
    <x v="8"/>
    <x v="3"/>
    <n v="10089.59"/>
    <n v="30000"/>
    <n v="-19910.41"/>
    <n v="-197.33616499999999"/>
  </r>
  <r>
    <s v="O0126"/>
    <x v="96"/>
    <x v="3"/>
    <d v="2024-07-27T00:00:00"/>
    <x v="4"/>
    <x v="2"/>
    <n v="41925.440000000002"/>
    <n v="2000"/>
    <n v="39925.440000000002"/>
    <n v="95.229626999999994"/>
  </r>
  <r>
    <s v="O0127"/>
    <x v="49"/>
    <x v="3"/>
    <d v="2024-02-08T00:00:00"/>
    <x v="9"/>
    <x v="0"/>
    <n v="22759.360000000001"/>
    <n v="500"/>
    <n v="22259.360000000001"/>
    <n v="97.803101999999996"/>
  </r>
  <r>
    <s v="O0128"/>
    <x v="97"/>
    <x v="3"/>
    <d v="2024-09-07T00:00:00"/>
    <x v="2"/>
    <x v="0"/>
    <n v="16670.64"/>
    <n v="500"/>
    <n v="16170.64"/>
    <n v="97.000715"/>
  </r>
  <r>
    <s v="O0129"/>
    <x v="98"/>
    <x v="0"/>
    <d v="2024-10-29T00:00:00"/>
    <x v="0"/>
    <x v="1"/>
    <n v="43164.99"/>
    <n v="12000"/>
    <n v="31164.99"/>
    <n v="72.199691999999999"/>
  </r>
  <r>
    <s v="O0130"/>
    <x v="99"/>
    <x v="1"/>
    <d v="2024-06-06T00:00:00"/>
    <x v="6"/>
    <x v="0"/>
    <n v="1900.84"/>
    <n v="500"/>
    <n v="1400.84"/>
    <n v="73.695840000000004"/>
  </r>
  <r>
    <s v="O0131"/>
    <x v="100"/>
    <x v="2"/>
    <d v="2024-07-27T00:00:00"/>
    <x v="4"/>
    <x v="0"/>
    <n v="49145.29"/>
    <n v="500"/>
    <n v="48645.29"/>
    <n v="98.982608999999997"/>
  </r>
  <r>
    <s v="O0132"/>
    <x v="101"/>
    <x v="3"/>
    <d v="2024-07-04T00:00:00"/>
    <x v="4"/>
    <x v="2"/>
    <n v="11896.18"/>
    <n v="2000"/>
    <n v="9896.18"/>
    <n v="83.187880000000007"/>
  </r>
  <r>
    <s v="O0133"/>
    <x v="38"/>
    <x v="2"/>
    <d v="2024-04-08T00:00:00"/>
    <x v="3"/>
    <x v="3"/>
    <n v="39061.9"/>
    <n v="30000"/>
    <n v="9061.9"/>
    <n v="23.198820000000001"/>
  </r>
  <r>
    <s v="O0134"/>
    <x v="102"/>
    <x v="0"/>
    <d v="2024-07-25T00:00:00"/>
    <x v="4"/>
    <x v="3"/>
    <n v="10029.07"/>
    <n v="30000"/>
    <n v="-19970.93"/>
    <n v="-199.13042799999999"/>
  </r>
  <r>
    <s v="O0135"/>
    <x v="103"/>
    <x v="1"/>
    <d v="2024-05-23T00:00:00"/>
    <x v="5"/>
    <x v="1"/>
    <n v="35338.86"/>
    <n v="12000"/>
    <n v="23338.86"/>
    <n v="66.043047000000001"/>
  </r>
  <r>
    <s v="O0136"/>
    <x v="104"/>
    <x v="1"/>
    <d v="2024-05-26T00:00:00"/>
    <x v="5"/>
    <x v="0"/>
    <n v="22251.75"/>
    <n v="500"/>
    <n v="21751.75"/>
    <n v="97.752986000000007"/>
  </r>
  <r>
    <s v="O0137"/>
    <x v="100"/>
    <x v="2"/>
    <d v="2024-01-17T00:00:00"/>
    <x v="7"/>
    <x v="1"/>
    <n v="18486.12"/>
    <n v="12000"/>
    <n v="6486.12"/>
    <n v="35.086432000000002"/>
  </r>
  <r>
    <s v="O0138"/>
    <x v="32"/>
    <x v="2"/>
    <d v="2024-06-02T00:00:00"/>
    <x v="6"/>
    <x v="0"/>
    <n v="44361.47"/>
    <n v="500"/>
    <n v="43861.47"/>
    <n v="98.872895999999997"/>
  </r>
  <r>
    <s v="O0139"/>
    <x v="105"/>
    <x v="2"/>
    <d v="2024-09-18T00:00:00"/>
    <x v="2"/>
    <x v="0"/>
    <n v="25542.09"/>
    <n v="500"/>
    <n v="25042.09"/>
    <n v="98.042446999999996"/>
  </r>
  <r>
    <s v="O0140"/>
    <x v="106"/>
    <x v="2"/>
    <d v="2024-02-27T00:00:00"/>
    <x v="9"/>
    <x v="2"/>
    <n v="29243.17"/>
    <n v="2000"/>
    <n v="27243.17"/>
    <n v="93.160796000000005"/>
  </r>
  <r>
    <s v="O0141"/>
    <x v="107"/>
    <x v="0"/>
    <d v="2024-05-26T00:00:00"/>
    <x v="5"/>
    <x v="1"/>
    <n v="11454.99"/>
    <n v="12000"/>
    <n v="-545.01"/>
    <n v="-4.7578389999999997"/>
  </r>
  <r>
    <s v="O0142"/>
    <x v="21"/>
    <x v="2"/>
    <d v="2024-10-19T00:00:00"/>
    <x v="0"/>
    <x v="1"/>
    <n v="24525.439999999999"/>
    <n v="12000"/>
    <n v="12525.44"/>
    <n v="51.071213999999998"/>
  </r>
  <r>
    <s v="O0143"/>
    <x v="52"/>
    <x v="1"/>
    <d v="2024-09-24T00:00:00"/>
    <x v="2"/>
    <x v="0"/>
    <n v="25956.16"/>
    <n v="500"/>
    <n v="25456.16"/>
    <n v="98.073674999999994"/>
  </r>
  <r>
    <s v="O0144"/>
    <x v="108"/>
    <x v="1"/>
    <d v="2024-03-11T00:00:00"/>
    <x v="1"/>
    <x v="0"/>
    <n v="10152.51"/>
    <n v="500"/>
    <n v="9652.51"/>
    <n v="95.075109999999995"/>
  </r>
  <r>
    <s v="O0145"/>
    <x v="65"/>
    <x v="3"/>
    <d v="2024-07-17T00:00:00"/>
    <x v="4"/>
    <x v="0"/>
    <n v="2104.5300000000002"/>
    <n v="500"/>
    <n v="1604.53"/>
    <n v="76.241726"/>
  </r>
  <r>
    <s v="O0146"/>
    <x v="109"/>
    <x v="1"/>
    <d v="2024-06-15T00:00:00"/>
    <x v="6"/>
    <x v="3"/>
    <n v="21619.11"/>
    <n v="30000"/>
    <n v="-8380.89"/>
    <n v="-38.766119000000003"/>
  </r>
  <r>
    <s v="O0147"/>
    <x v="82"/>
    <x v="0"/>
    <d v="2024-09-05T00:00:00"/>
    <x v="2"/>
    <x v="2"/>
    <n v="11289.24"/>
    <n v="2000"/>
    <n v="9289.24"/>
    <n v="82.284015999999994"/>
  </r>
  <r>
    <s v="O0148"/>
    <x v="110"/>
    <x v="1"/>
    <d v="2024-06-17T00:00:00"/>
    <x v="6"/>
    <x v="1"/>
    <n v="32692.06"/>
    <n v="12000"/>
    <n v="20692.060000000001"/>
    <n v="63.293840000000003"/>
  </r>
  <r>
    <s v="O0149"/>
    <x v="29"/>
    <x v="0"/>
    <d v="2024-06-07T00:00:00"/>
    <x v="6"/>
    <x v="0"/>
    <n v="12010.59"/>
    <n v="500"/>
    <n v="11510.59"/>
    <n v="95.837007"/>
  </r>
  <r>
    <s v="O0150"/>
    <x v="111"/>
    <x v="0"/>
    <d v="2024-12-30T00:00:00"/>
    <x v="11"/>
    <x v="2"/>
    <n v="5957.81"/>
    <n v="2000"/>
    <n v="3957.81"/>
    <n v="66.430617999999996"/>
  </r>
  <r>
    <s v="O0151"/>
    <x v="29"/>
    <x v="0"/>
    <d v="2024-05-18T00:00:00"/>
    <x v="5"/>
    <x v="2"/>
    <n v="3700.42"/>
    <n v="2000"/>
    <n v="1700.42"/>
    <n v="45.952081"/>
  </r>
  <r>
    <s v="O0152"/>
    <x v="73"/>
    <x v="3"/>
    <d v="2024-10-24T00:00:00"/>
    <x v="0"/>
    <x v="2"/>
    <n v="44877.81"/>
    <n v="2000"/>
    <n v="42877.81"/>
    <n v="95.543454999999994"/>
  </r>
  <r>
    <s v="O0153"/>
    <x v="103"/>
    <x v="1"/>
    <d v="2024-05-05T00:00:00"/>
    <x v="5"/>
    <x v="3"/>
    <n v="30068.91"/>
    <n v="30000"/>
    <n v="68.91"/>
    <n v="0.22917399999999999"/>
  </r>
  <r>
    <s v="O0154"/>
    <x v="41"/>
    <x v="1"/>
    <d v="2024-12-08T00:00:00"/>
    <x v="11"/>
    <x v="1"/>
    <n v="30842.44"/>
    <n v="12000"/>
    <n v="18842.439999999999"/>
    <n v="61.092571999999997"/>
  </r>
  <r>
    <s v="O0155"/>
    <x v="112"/>
    <x v="1"/>
    <d v="2024-11-03T00:00:00"/>
    <x v="10"/>
    <x v="0"/>
    <n v="20347.62"/>
    <n v="500"/>
    <n v="19847.62"/>
    <n v="97.54271"/>
  </r>
  <r>
    <s v="O0156"/>
    <x v="98"/>
    <x v="0"/>
    <d v="2024-09-12T00:00:00"/>
    <x v="2"/>
    <x v="2"/>
    <n v="2529.88"/>
    <n v="2000"/>
    <n v="529.88"/>
    <n v="20.944866999999999"/>
  </r>
  <r>
    <s v="O0157"/>
    <x v="113"/>
    <x v="2"/>
    <d v="2024-05-19T00:00:00"/>
    <x v="5"/>
    <x v="2"/>
    <n v="21600.720000000001"/>
    <n v="2000"/>
    <n v="19600.72"/>
    <n v="90.741049000000004"/>
  </r>
  <r>
    <s v="O0158"/>
    <x v="20"/>
    <x v="3"/>
    <d v="2024-02-22T00:00:00"/>
    <x v="9"/>
    <x v="3"/>
    <n v="30801.18"/>
    <n v="30000"/>
    <n v="801.18"/>
    <n v="2.6011340000000001"/>
  </r>
  <r>
    <s v="O0159"/>
    <x v="67"/>
    <x v="0"/>
    <d v="2024-02-16T00:00:00"/>
    <x v="9"/>
    <x v="0"/>
    <n v="17267.599999999999"/>
    <n v="500"/>
    <n v="16767.599999999999"/>
    <n v="97.104404000000002"/>
  </r>
  <r>
    <s v="O0160"/>
    <x v="114"/>
    <x v="0"/>
    <d v="2024-07-30T00:00:00"/>
    <x v="4"/>
    <x v="3"/>
    <n v="19522.310000000001"/>
    <n v="30000"/>
    <n v="-10477.69"/>
    <n v="-53.670338999999998"/>
  </r>
  <r>
    <s v="O0161"/>
    <x v="115"/>
    <x v="0"/>
    <d v="2024-05-29T00:00:00"/>
    <x v="5"/>
    <x v="0"/>
    <n v="33887.599999999999"/>
    <n v="500"/>
    <n v="33387.599999999999"/>
    <n v="98.524534000000003"/>
  </r>
  <r>
    <s v="O0162"/>
    <x v="40"/>
    <x v="1"/>
    <d v="2024-11-05T00:00:00"/>
    <x v="10"/>
    <x v="3"/>
    <n v="24788.959999999999"/>
    <n v="30000"/>
    <n v="-5211.04"/>
    <n v="-21.021616000000002"/>
  </r>
  <r>
    <s v="O0163"/>
    <x v="116"/>
    <x v="1"/>
    <d v="2024-07-21T00:00:00"/>
    <x v="4"/>
    <x v="0"/>
    <n v="13536.39"/>
    <n v="500"/>
    <n v="13036.39"/>
    <n v="96.306252999999998"/>
  </r>
  <r>
    <s v="O0164"/>
    <x v="117"/>
    <x v="3"/>
    <d v="2024-09-19T00:00:00"/>
    <x v="2"/>
    <x v="2"/>
    <n v="26960.98"/>
    <n v="2000"/>
    <n v="24960.98"/>
    <n v="92.581872000000004"/>
  </r>
  <r>
    <s v="O0165"/>
    <x v="49"/>
    <x v="3"/>
    <d v="2024-08-21T00:00:00"/>
    <x v="8"/>
    <x v="1"/>
    <n v="12609.1"/>
    <n v="12000"/>
    <n v="609.1"/>
    <n v="4.8306380000000004"/>
  </r>
  <r>
    <s v="O0166"/>
    <x v="58"/>
    <x v="1"/>
    <d v="2024-06-18T00:00:00"/>
    <x v="6"/>
    <x v="0"/>
    <n v="31405.040000000001"/>
    <n v="500"/>
    <n v="30905.040000000001"/>
    <n v="98.407899"/>
  </r>
  <r>
    <s v="O0167"/>
    <x v="4"/>
    <x v="0"/>
    <d v="2024-09-25T00:00:00"/>
    <x v="2"/>
    <x v="3"/>
    <n v="42918.84"/>
    <n v="30000"/>
    <n v="12918.84"/>
    <n v="30.100626999999999"/>
  </r>
  <r>
    <s v="O0168"/>
    <x v="118"/>
    <x v="0"/>
    <d v="2024-11-03T00:00:00"/>
    <x v="10"/>
    <x v="2"/>
    <n v="8363.85"/>
    <n v="2000"/>
    <n v="6363.85"/>
    <n v="76.087567000000007"/>
  </r>
  <r>
    <s v="O0169"/>
    <x v="55"/>
    <x v="2"/>
    <d v="2024-04-05T00:00:00"/>
    <x v="3"/>
    <x v="3"/>
    <n v="41897.730000000003"/>
    <n v="30000"/>
    <n v="11897.73"/>
    <n v="28.397075000000001"/>
  </r>
  <r>
    <s v="O0170"/>
    <x v="66"/>
    <x v="2"/>
    <d v="2024-07-10T00:00:00"/>
    <x v="4"/>
    <x v="2"/>
    <n v="1233.44"/>
    <n v="2000"/>
    <n v="-766.56"/>
    <n v="-62.148139"/>
  </r>
  <r>
    <s v="O0171"/>
    <x v="20"/>
    <x v="3"/>
    <d v="2024-04-08T00:00:00"/>
    <x v="3"/>
    <x v="2"/>
    <n v="22674.29"/>
    <n v="2000"/>
    <n v="20674.29"/>
    <n v="91.179436999999993"/>
  </r>
  <r>
    <s v="O0172"/>
    <x v="119"/>
    <x v="3"/>
    <d v="2024-02-26T00:00:00"/>
    <x v="9"/>
    <x v="0"/>
    <n v="29352.25"/>
    <n v="500"/>
    <n v="28852.25"/>
    <n v="98.296553000000003"/>
  </r>
  <r>
    <s v="O0173"/>
    <x v="20"/>
    <x v="3"/>
    <d v="2024-06-12T00:00:00"/>
    <x v="6"/>
    <x v="2"/>
    <n v="19213.77"/>
    <n v="2000"/>
    <n v="17213.77"/>
    <n v="89.590799000000004"/>
  </r>
  <r>
    <s v="O0174"/>
    <x v="28"/>
    <x v="1"/>
    <d v="2024-09-06T00:00:00"/>
    <x v="2"/>
    <x v="3"/>
    <n v="42216.59"/>
    <n v="30000"/>
    <n v="12216.59"/>
    <n v="28.937888999999998"/>
  </r>
  <r>
    <s v="O0175"/>
    <x v="104"/>
    <x v="1"/>
    <d v="2024-07-19T00:00:00"/>
    <x v="4"/>
    <x v="2"/>
    <n v="35020.15"/>
    <n v="2000"/>
    <n v="33020.15"/>
    <n v="94.289001999999996"/>
  </r>
  <r>
    <s v="O0176"/>
    <x v="120"/>
    <x v="2"/>
    <d v="2024-07-04T00:00:00"/>
    <x v="4"/>
    <x v="3"/>
    <n v="30585.41"/>
    <n v="30000"/>
    <n v="585.41"/>
    <n v="1.9140170000000001"/>
  </r>
  <r>
    <s v="O0177"/>
    <x v="121"/>
    <x v="2"/>
    <d v="2024-07-14T00:00:00"/>
    <x v="4"/>
    <x v="3"/>
    <n v="38081.42"/>
    <n v="30000"/>
    <n v="8081.42"/>
    <n v="21.221425"/>
  </r>
  <r>
    <s v="O0178"/>
    <x v="113"/>
    <x v="2"/>
    <d v="2024-09-13T00:00:00"/>
    <x v="2"/>
    <x v="3"/>
    <n v="22335.41"/>
    <n v="30000"/>
    <n v="-7664.59"/>
    <n v="-34.315868999999999"/>
  </r>
  <r>
    <s v="O0179"/>
    <x v="122"/>
    <x v="0"/>
    <d v="2024-04-29T00:00:00"/>
    <x v="3"/>
    <x v="2"/>
    <n v="25447.57"/>
    <n v="2000"/>
    <n v="23447.57"/>
    <n v="92.140703000000002"/>
  </r>
  <r>
    <s v="O0180"/>
    <x v="103"/>
    <x v="1"/>
    <d v="2024-06-12T00:00:00"/>
    <x v="6"/>
    <x v="2"/>
    <n v="42165.94"/>
    <n v="2000"/>
    <n v="40165.94"/>
    <n v="95.256834999999995"/>
  </r>
  <r>
    <s v="O0181"/>
    <x v="123"/>
    <x v="1"/>
    <d v="2024-04-11T00:00:00"/>
    <x v="3"/>
    <x v="0"/>
    <n v="45503.44"/>
    <n v="500"/>
    <n v="45003.44"/>
    <n v="98.901182000000006"/>
  </r>
  <r>
    <s v="O0182"/>
    <x v="124"/>
    <x v="0"/>
    <d v="2024-01-21T00:00:00"/>
    <x v="7"/>
    <x v="1"/>
    <n v="5755.48"/>
    <n v="12000"/>
    <n v="-6244.52"/>
    <n v="-108.49694599999999"/>
  </r>
  <r>
    <s v="O0183"/>
    <x v="118"/>
    <x v="0"/>
    <d v="2024-12-26T00:00:00"/>
    <x v="11"/>
    <x v="1"/>
    <n v="16495.759999999998"/>
    <n v="12000"/>
    <n v="4495.76"/>
    <n v="27.254034000000001"/>
  </r>
  <r>
    <s v="O0184"/>
    <x v="125"/>
    <x v="0"/>
    <d v="2024-03-25T00:00:00"/>
    <x v="1"/>
    <x v="2"/>
    <n v="17168.14"/>
    <n v="2000"/>
    <n v="15168.14"/>
    <n v="88.350514000000004"/>
  </r>
  <r>
    <s v="O0185"/>
    <x v="74"/>
    <x v="1"/>
    <d v="2024-09-18T00:00:00"/>
    <x v="2"/>
    <x v="0"/>
    <n v="49034.86"/>
    <n v="500"/>
    <n v="48534.86"/>
    <n v="98.980316999999999"/>
  </r>
  <r>
    <s v="O0186"/>
    <x v="119"/>
    <x v="3"/>
    <d v="2024-10-18T00:00:00"/>
    <x v="0"/>
    <x v="3"/>
    <n v="39066.39"/>
    <n v="30000"/>
    <n v="9066.39"/>
    <n v="23.207647000000001"/>
  </r>
  <r>
    <s v="O0187"/>
    <x v="111"/>
    <x v="0"/>
    <d v="2024-01-12T00:00:00"/>
    <x v="7"/>
    <x v="0"/>
    <n v="41960.81"/>
    <n v="500"/>
    <n v="41460.81"/>
    <n v="98.808412000000004"/>
  </r>
  <r>
    <s v="O0188"/>
    <x v="126"/>
    <x v="0"/>
    <d v="2024-12-07T00:00:00"/>
    <x v="11"/>
    <x v="1"/>
    <n v="33563.199999999997"/>
    <n v="12000"/>
    <n v="21563.200000000001"/>
    <n v="64.246555999999998"/>
  </r>
  <r>
    <s v="O0189"/>
    <x v="18"/>
    <x v="2"/>
    <d v="2024-06-16T00:00:00"/>
    <x v="6"/>
    <x v="0"/>
    <n v="43747.65"/>
    <n v="500"/>
    <n v="43247.65"/>
    <n v="98.857080999999994"/>
  </r>
  <r>
    <s v="O0190"/>
    <x v="57"/>
    <x v="3"/>
    <d v="2024-03-20T00:00:00"/>
    <x v="1"/>
    <x v="3"/>
    <n v="6429.46"/>
    <n v="30000"/>
    <n v="-23570.54"/>
    <n v="-366.602172"/>
  </r>
  <r>
    <s v="O0191"/>
    <x v="33"/>
    <x v="1"/>
    <d v="2024-01-18T00:00:00"/>
    <x v="7"/>
    <x v="1"/>
    <n v="37279.65"/>
    <n v="12000"/>
    <n v="25279.65"/>
    <n v="67.810856999999999"/>
  </r>
  <r>
    <s v="O0192"/>
    <x v="127"/>
    <x v="0"/>
    <d v="2024-02-11T00:00:00"/>
    <x v="9"/>
    <x v="0"/>
    <n v="9631.31"/>
    <n v="500"/>
    <n v="9131.31"/>
    <n v="94.808598000000003"/>
  </r>
  <r>
    <s v="O0193"/>
    <x v="128"/>
    <x v="2"/>
    <d v="2024-08-26T00:00:00"/>
    <x v="8"/>
    <x v="0"/>
    <n v="31727.75"/>
    <n v="500"/>
    <n v="31227.75"/>
    <n v="98.424092000000002"/>
  </r>
  <r>
    <s v="O0194"/>
    <x v="122"/>
    <x v="0"/>
    <d v="2024-10-18T00:00:00"/>
    <x v="0"/>
    <x v="3"/>
    <n v="42526.47"/>
    <n v="30000"/>
    <n v="12526.47"/>
    <n v="29.455701000000001"/>
  </r>
  <r>
    <s v="O0195"/>
    <x v="129"/>
    <x v="1"/>
    <d v="2024-09-17T00:00:00"/>
    <x v="2"/>
    <x v="3"/>
    <n v="1207.8"/>
    <n v="30000"/>
    <n v="-28792.2"/>
    <n v="-2383.8549429999998"/>
  </r>
  <r>
    <s v="O0196"/>
    <x v="130"/>
    <x v="2"/>
    <d v="2024-02-09T00:00:00"/>
    <x v="9"/>
    <x v="0"/>
    <n v="32072.89"/>
    <n v="500"/>
    <n v="31572.89"/>
    <n v="98.441051000000002"/>
  </r>
  <r>
    <s v="O0197"/>
    <x v="62"/>
    <x v="2"/>
    <d v="2024-08-11T00:00:00"/>
    <x v="8"/>
    <x v="0"/>
    <n v="48524.57"/>
    <n v="500"/>
    <n v="48024.57"/>
    <n v="98.969594000000001"/>
  </r>
  <r>
    <s v="O0198"/>
    <x v="80"/>
    <x v="0"/>
    <d v="2024-12-04T00:00:00"/>
    <x v="11"/>
    <x v="1"/>
    <n v="14525.13"/>
    <n v="12000"/>
    <n v="2525.13"/>
    <n v="17.38456"/>
  </r>
  <r>
    <s v="O0199"/>
    <x v="131"/>
    <x v="3"/>
    <d v="2024-06-18T00:00:00"/>
    <x v="6"/>
    <x v="1"/>
    <n v="17602.349999999999"/>
    <n v="12000"/>
    <n v="5602.35"/>
    <n v="31.827283999999999"/>
  </r>
  <r>
    <s v="O0200"/>
    <x v="35"/>
    <x v="0"/>
    <d v="2024-07-18T00:00:00"/>
    <x v="4"/>
    <x v="0"/>
    <n v="18362.669999999998"/>
    <n v="500"/>
    <n v="17862.669999999998"/>
    <n v="97.277084000000002"/>
  </r>
  <r>
    <s v="O0201"/>
    <x v="132"/>
    <x v="2"/>
    <d v="2024-03-24T00:00:00"/>
    <x v="1"/>
    <x v="2"/>
    <n v="42068.54"/>
    <n v="2000"/>
    <n v="40068.54"/>
    <n v="95.245853999999994"/>
  </r>
  <r>
    <s v="O0202"/>
    <x v="80"/>
    <x v="0"/>
    <d v="2024-10-01T00:00:00"/>
    <x v="0"/>
    <x v="2"/>
    <n v="23467.47"/>
    <n v="2000"/>
    <n v="21467.47"/>
    <n v="91.477564000000001"/>
  </r>
  <r>
    <s v="O0203"/>
    <x v="56"/>
    <x v="1"/>
    <d v="2024-10-25T00:00:00"/>
    <x v="0"/>
    <x v="3"/>
    <n v="26367.33"/>
    <n v="30000"/>
    <n v="-3632.67"/>
    <n v="-13.777163"/>
  </r>
  <r>
    <s v="O0204"/>
    <x v="133"/>
    <x v="2"/>
    <d v="2024-05-04T00:00:00"/>
    <x v="5"/>
    <x v="1"/>
    <n v="23713.67"/>
    <n v="12000"/>
    <n v="11713.67"/>
    <n v="49.396276"/>
  </r>
  <r>
    <s v="O0205"/>
    <x v="80"/>
    <x v="0"/>
    <d v="2024-06-01T00:00:00"/>
    <x v="6"/>
    <x v="0"/>
    <n v="4904.83"/>
    <n v="500"/>
    <n v="4404.83"/>
    <n v="89.805966999999995"/>
  </r>
  <r>
    <s v="O0206"/>
    <x v="82"/>
    <x v="0"/>
    <d v="2024-02-01T00:00:00"/>
    <x v="9"/>
    <x v="2"/>
    <n v="6697.86"/>
    <n v="2000"/>
    <n v="4697.8599999999997"/>
    <n v="70.139716000000007"/>
  </r>
  <r>
    <s v="O0207"/>
    <x v="23"/>
    <x v="2"/>
    <d v="2024-02-03T00:00:00"/>
    <x v="9"/>
    <x v="2"/>
    <n v="21971.74"/>
    <n v="2000"/>
    <n v="19971.740000000002"/>
    <n v="90.897397999999995"/>
  </r>
  <r>
    <s v="O0208"/>
    <x v="25"/>
    <x v="1"/>
    <d v="2024-12-04T00:00:00"/>
    <x v="11"/>
    <x v="2"/>
    <n v="15239.27"/>
    <n v="2000"/>
    <n v="13239.27"/>
    <n v="86.876012000000003"/>
  </r>
  <r>
    <s v="O0209"/>
    <x v="74"/>
    <x v="1"/>
    <d v="2024-05-16T00:00:00"/>
    <x v="5"/>
    <x v="3"/>
    <n v="23286.799999999999"/>
    <n v="30000"/>
    <n v="-6713.2"/>
    <n v="-28.828348999999999"/>
  </r>
  <r>
    <s v="O0210"/>
    <x v="134"/>
    <x v="3"/>
    <d v="2024-09-06T00:00:00"/>
    <x v="2"/>
    <x v="2"/>
    <n v="29385.68"/>
    <n v="2000"/>
    <n v="27385.68"/>
    <n v="93.193963999999994"/>
  </r>
  <r>
    <s v="O0211"/>
    <x v="14"/>
    <x v="2"/>
    <d v="2024-03-21T00:00:00"/>
    <x v="1"/>
    <x v="2"/>
    <n v="19685.28"/>
    <n v="2000"/>
    <n v="17685.28"/>
    <n v="89.840124000000003"/>
  </r>
  <r>
    <s v="O0212"/>
    <x v="135"/>
    <x v="1"/>
    <d v="2024-03-25T00:00:00"/>
    <x v="1"/>
    <x v="1"/>
    <n v="29564.68"/>
    <n v="12000"/>
    <n v="17564.68"/>
    <n v="59.411026999999997"/>
  </r>
  <r>
    <s v="O0213"/>
    <x v="56"/>
    <x v="1"/>
    <d v="2024-05-22T00:00:00"/>
    <x v="5"/>
    <x v="3"/>
    <n v="8886.2000000000007"/>
    <n v="30000"/>
    <n v="-21113.8"/>
    <n v="-237.602125"/>
  </r>
  <r>
    <s v="O0214"/>
    <x v="136"/>
    <x v="3"/>
    <d v="2024-05-30T00:00:00"/>
    <x v="5"/>
    <x v="3"/>
    <n v="7430.76"/>
    <n v="30000"/>
    <n v="-22569.24"/>
    <n v="-303.72721000000001"/>
  </r>
  <r>
    <s v="O0215"/>
    <x v="137"/>
    <x v="2"/>
    <d v="2024-03-16T00:00:00"/>
    <x v="1"/>
    <x v="1"/>
    <n v="35532.71"/>
    <n v="12000"/>
    <n v="23532.71"/>
    <n v="66.228301000000002"/>
  </r>
  <r>
    <s v="O0216"/>
    <x v="126"/>
    <x v="0"/>
    <d v="2024-03-02T00:00:00"/>
    <x v="1"/>
    <x v="1"/>
    <n v="39571.089999999997"/>
    <n v="12000"/>
    <n v="27571.09"/>
    <n v="69.674830999999998"/>
  </r>
  <r>
    <s v="O0217"/>
    <x v="101"/>
    <x v="3"/>
    <d v="2024-01-23T00:00:00"/>
    <x v="7"/>
    <x v="1"/>
    <n v="17414.78"/>
    <n v="12000"/>
    <n v="5414.78"/>
    <n v="31.093014"/>
  </r>
  <r>
    <s v="O0218"/>
    <x v="132"/>
    <x v="2"/>
    <d v="2024-01-22T00:00:00"/>
    <x v="7"/>
    <x v="2"/>
    <n v="5523.39"/>
    <n v="2000"/>
    <n v="3523.39"/>
    <n v="63.790353000000003"/>
  </r>
  <r>
    <s v="O0219"/>
    <x v="138"/>
    <x v="3"/>
    <d v="2024-04-21T00:00:00"/>
    <x v="3"/>
    <x v="1"/>
    <n v="49711.14"/>
    <n v="12000"/>
    <n v="37711.14"/>
    <n v="75.860541999999995"/>
  </r>
  <r>
    <s v="O0220"/>
    <x v="139"/>
    <x v="0"/>
    <d v="2024-05-20T00:00:00"/>
    <x v="5"/>
    <x v="3"/>
    <n v="16254.33"/>
    <n v="30000"/>
    <n v="-13745.67"/>
    <n v="-84.566204999999997"/>
  </r>
  <r>
    <s v="O0221"/>
    <x v="68"/>
    <x v="3"/>
    <d v="2024-09-10T00:00:00"/>
    <x v="2"/>
    <x v="0"/>
    <n v="29836.87"/>
    <n v="500"/>
    <n v="29336.87"/>
    <n v="98.324220999999994"/>
  </r>
  <r>
    <s v="O0222"/>
    <x v="105"/>
    <x v="2"/>
    <d v="2024-01-20T00:00:00"/>
    <x v="7"/>
    <x v="2"/>
    <n v="44083.78"/>
    <n v="2000"/>
    <n v="42083.78"/>
    <n v="95.463183999999998"/>
  </r>
  <r>
    <s v="O0223"/>
    <x v="140"/>
    <x v="3"/>
    <d v="2024-09-25T00:00:00"/>
    <x v="2"/>
    <x v="1"/>
    <n v="7716.8"/>
    <n v="12000"/>
    <n v="-4283.2"/>
    <n v="-55.504871999999999"/>
  </r>
  <r>
    <s v="O0224"/>
    <x v="78"/>
    <x v="2"/>
    <d v="2024-09-04T00:00:00"/>
    <x v="2"/>
    <x v="3"/>
    <n v="4426.47"/>
    <n v="30000"/>
    <n v="-25573.53"/>
    <n v="-577.74095399999999"/>
  </r>
  <r>
    <s v="O0225"/>
    <x v="141"/>
    <x v="3"/>
    <d v="2024-12-24T00:00:00"/>
    <x v="11"/>
    <x v="2"/>
    <n v="38356.68"/>
    <n v="2000"/>
    <n v="36356.68"/>
    <n v="94.785784000000007"/>
  </r>
  <r>
    <s v="O0226"/>
    <x v="103"/>
    <x v="1"/>
    <d v="2024-12-25T00:00:00"/>
    <x v="11"/>
    <x v="1"/>
    <n v="34975.120000000003"/>
    <n v="12000"/>
    <n v="22975.119999999999"/>
    <n v="65.689896000000005"/>
  </r>
  <r>
    <s v="O0227"/>
    <x v="114"/>
    <x v="0"/>
    <d v="2024-09-29T00:00:00"/>
    <x v="2"/>
    <x v="3"/>
    <n v="2124.77"/>
    <n v="30000"/>
    <n v="-27875.23"/>
    <n v="-1311.9175250000001"/>
  </r>
  <r>
    <s v="O0228"/>
    <x v="8"/>
    <x v="2"/>
    <d v="2024-07-18T00:00:00"/>
    <x v="4"/>
    <x v="3"/>
    <n v="19590.04"/>
    <n v="30000"/>
    <n v="-10409.959999999999"/>
    <n v="-53.139043999999998"/>
  </r>
  <r>
    <s v="O0229"/>
    <x v="76"/>
    <x v="1"/>
    <d v="2024-12-17T00:00:00"/>
    <x v="11"/>
    <x v="0"/>
    <n v="13488.79"/>
    <n v="500"/>
    <n v="12988.79"/>
    <n v="96.293217999999996"/>
  </r>
  <r>
    <s v="O0230"/>
    <x v="142"/>
    <x v="3"/>
    <d v="2024-11-16T00:00:00"/>
    <x v="10"/>
    <x v="2"/>
    <n v="20091.599999999999"/>
    <n v="2000"/>
    <n v="18091.599999999999"/>
    <n v="90.045591000000002"/>
  </r>
  <r>
    <s v="O0231"/>
    <x v="127"/>
    <x v="0"/>
    <d v="2024-04-27T00:00:00"/>
    <x v="3"/>
    <x v="0"/>
    <n v="41840.17"/>
    <n v="500"/>
    <n v="41340.17"/>
    <n v="98.804975999999996"/>
  </r>
  <r>
    <s v="O0232"/>
    <x v="73"/>
    <x v="3"/>
    <d v="2024-03-29T00:00:00"/>
    <x v="1"/>
    <x v="0"/>
    <n v="16487.2"/>
    <n v="500"/>
    <n v="15987.2"/>
    <n v="96.967343999999997"/>
  </r>
  <r>
    <s v="O0233"/>
    <x v="143"/>
    <x v="2"/>
    <d v="2024-11-26T00:00:00"/>
    <x v="10"/>
    <x v="0"/>
    <n v="35963.57"/>
    <n v="500"/>
    <n v="35463.57"/>
    <n v="98.609703999999994"/>
  </r>
  <r>
    <s v="O0234"/>
    <x v="27"/>
    <x v="2"/>
    <d v="2024-12-01T00:00:00"/>
    <x v="11"/>
    <x v="2"/>
    <n v="24381.62"/>
    <n v="2000"/>
    <n v="22381.62"/>
    <n v="91.7971"/>
  </r>
  <r>
    <s v="O0235"/>
    <x v="6"/>
    <x v="0"/>
    <d v="2024-08-21T00:00:00"/>
    <x v="8"/>
    <x v="0"/>
    <n v="8242.9"/>
    <n v="500"/>
    <n v="7742.9"/>
    <n v="93.934173999999999"/>
  </r>
  <r>
    <s v="O0236"/>
    <x v="17"/>
    <x v="2"/>
    <d v="2024-11-28T00:00:00"/>
    <x v="10"/>
    <x v="3"/>
    <n v="18046.599999999999"/>
    <n v="30000"/>
    <n v="-11953.4"/>
    <n v="-66.236299000000002"/>
  </r>
  <r>
    <s v="O0237"/>
    <x v="113"/>
    <x v="2"/>
    <d v="2024-03-24T00:00:00"/>
    <x v="1"/>
    <x v="2"/>
    <n v="50205.85"/>
    <n v="2000"/>
    <n v="48205.85"/>
    <n v="96.016400000000004"/>
  </r>
  <r>
    <s v="O0238"/>
    <x v="144"/>
    <x v="3"/>
    <d v="2024-11-21T00:00:00"/>
    <x v="10"/>
    <x v="0"/>
    <n v="2803.89"/>
    <n v="500"/>
    <n v="2303.89"/>
    <n v="82.167631"/>
  </r>
  <r>
    <s v="O0239"/>
    <x v="88"/>
    <x v="3"/>
    <d v="2024-02-08T00:00:00"/>
    <x v="9"/>
    <x v="0"/>
    <n v="20220.400000000001"/>
    <n v="500"/>
    <n v="19720.400000000001"/>
    <n v="97.527249999999995"/>
  </r>
  <r>
    <s v="O0240"/>
    <x v="145"/>
    <x v="2"/>
    <d v="2024-04-22T00:00:00"/>
    <x v="3"/>
    <x v="0"/>
    <n v="28241.48"/>
    <n v="500"/>
    <n v="27741.48"/>
    <n v="98.229555000000005"/>
  </r>
  <r>
    <s v="O0241"/>
    <x v="146"/>
    <x v="0"/>
    <d v="2024-07-16T00:00:00"/>
    <x v="4"/>
    <x v="1"/>
    <n v="27125.87"/>
    <n v="12000"/>
    <n v="15125.87"/>
    <n v="55.761788000000003"/>
  </r>
  <r>
    <s v="O0242"/>
    <x v="147"/>
    <x v="3"/>
    <d v="2024-02-07T00:00:00"/>
    <x v="9"/>
    <x v="0"/>
    <n v="32485.82"/>
    <n v="500"/>
    <n v="31985.82"/>
    <n v="98.460866999999993"/>
  </r>
  <r>
    <s v="O0243"/>
    <x v="67"/>
    <x v="0"/>
    <d v="2024-08-31T00:00:00"/>
    <x v="8"/>
    <x v="2"/>
    <n v="9499.2099999999991"/>
    <n v="2000"/>
    <n v="7499.21"/>
    <n v="78.945617999999996"/>
  </r>
  <r>
    <s v="O0244"/>
    <x v="86"/>
    <x v="3"/>
    <d v="2024-02-26T00:00:00"/>
    <x v="9"/>
    <x v="1"/>
    <n v="1779.83"/>
    <n v="12000"/>
    <n v="-10220.17"/>
    <n v="-574.22169499999995"/>
  </r>
  <r>
    <s v="O0245"/>
    <x v="28"/>
    <x v="1"/>
    <d v="2024-07-05T00:00:00"/>
    <x v="4"/>
    <x v="1"/>
    <n v="1449.1"/>
    <n v="12000"/>
    <n v="-10550.9"/>
    <n v="-728.10019999999997"/>
  </r>
  <r>
    <s v="O0246"/>
    <x v="148"/>
    <x v="2"/>
    <d v="2024-04-30T00:00:00"/>
    <x v="3"/>
    <x v="1"/>
    <n v="39421.4"/>
    <n v="12000"/>
    <n v="27421.4"/>
    <n v="69.559680999999998"/>
  </r>
  <r>
    <s v="O0247"/>
    <x v="149"/>
    <x v="0"/>
    <d v="2024-08-19T00:00:00"/>
    <x v="8"/>
    <x v="2"/>
    <n v="28935.27"/>
    <n v="2000"/>
    <n v="26935.27"/>
    <n v="93.08802"/>
  </r>
  <r>
    <s v="O0248"/>
    <x v="150"/>
    <x v="3"/>
    <d v="2024-03-08T00:00:00"/>
    <x v="1"/>
    <x v="2"/>
    <n v="34625.910000000003"/>
    <n v="2000"/>
    <n v="32625.91"/>
    <n v="94.223979"/>
  </r>
  <r>
    <s v="O0249"/>
    <x v="135"/>
    <x v="1"/>
    <d v="2024-02-03T00:00:00"/>
    <x v="9"/>
    <x v="2"/>
    <n v="26454.83"/>
    <n v="2000"/>
    <n v="24454.83"/>
    <n v="92.439943999999997"/>
  </r>
  <r>
    <s v="O0250"/>
    <x v="59"/>
    <x v="2"/>
    <d v="2024-06-04T00:00:00"/>
    <x v="6"/>
    <x v="3"/>
    <n v="41280.629999999997"/>
    <n v="30000"/>
    <n v="11280.63"/>
    <n v="27.326691"/>
  </r>
  <r>
    <s v="O0251"/>
    <x v="151"/>
    <x v="3"/>
    <d v="2024-04-07T00:00:00"/>
    <x v="3"/>
    <x v="1"/>
    <n v="44903.47"/>
    <n v="12000"/>
    <n v="32903.47"/>
    <n v="73.276007000000007"/>
  </r>
  <r>
    <s v="O0252"/>
    <x v="126"/>
    <x v="0"/>
    <d v="2024-01-11T00:00:00"/>
    <x v="7"/>
    <x v="0"/>
    <n v="35923.99"/>
    <n v="500"/>
    <n v="35423.99"/>
    <n v="98.608171999999996"/>
  </r>
  <r>
    <s v="O0253"/>
    <x v="152"/>
    <x v="0"/>
    <d v="2024-03-29T00:00:00"/>
    <x v="1"/>
    <x v="2"/>
    <n v="10840.76"/>
    <n v="2000"/>
    <n v="8840.76"/>
    <n v="81.551108999999997"/>
  </r>
  <r>
    <s v="O0254"/>
    <x v="38"/>
    <x v="2"/>
    <d v="2024-11-29T00:00:00"/>
    <x v="10"/>
    <x v="1"/>
    <n v="45092.03"/>
    <n v="12000"/>
    <n v="33092.03"/>
    <n v="73.387758000000005"/>
  </r>
  <r>
    <s v="O0255"/>
    <x v="153"/>
    <x v="3"/>
    <d v="2024-03-08T00:00:00"/>
    <x v="1"/>
    <x v="0"/>
    <n v="10941.39"/>
    <n v="500"/>
    <n v="10441.39"/>
    <n v="95.430197000000007"/>
  </r>
  <r>
    <s v="O0256"/>
    <x v="134"/>
    <x v="3"/>
    <d v="2024-02-15T00:00:00"/>
    <x v="9"/>
    <x v="2"/>
    <n v="15685.44"/>
    <n v="2000"/>
    <n v="13685.44"/>
    <n v="87.249322000000006"/>
  </r>
  <r>
    <s v="O0257"/>
    <x v="154"/>
    <x v="1"/>
    <d v="2024-04-25T00:00:00"/>
    <x v="3"/>
    <x v="2"/>
    <n v="11762.61"/>
    <n v="2000"/>
    <n v="9762.61"/>
    <n v="82.996971000000002"/>
  </r>
  <r>
    <s v="O0258"/>
    <x v="32"/>
    <x v="2"/>
    <d v="2024-06-10T00:00:00"/>
    <x v="6"/>
    <x v="0"/>
    <n v="22792.66"/>
    <n v="500"/>
    <n v="22292.66"/>
    <n v="97.806310999999994"/>
  </r>
  <r>
    <s v="O0259"/>
    <x v="77"/>
    <x v="0"/>
    <d v="2024-04-28T00:00:00"/>
    <x v="3"/>
    <x v="3"/>
    <n v="45355.71"/>
    <n v="30000"/>
    <n v="15355.71"/>
    <n v="33.856178"/>
  </r>
  <r>
    <s v="O0260"/>
    <x v="78"/>
    <x v="2"/>
    <d v="2024-09-17T00:00:00"/>
    <x v="2"/>
    <x v="3"/>
    <n v="45556.37"/>
    <n v="30000"/>
    <n v="15556.37"/>
    <n v="34.147519000000003"/>
  </r>
  <r>
    <s v="O0261"/>
    <x v="155"/>
    <x v="0"/>
    <d v="2024-11-05T00:00:00"/>
    <x v="10"/>
    <x v="3"/>
    <n v="8713.5499999999993"/>
    <n v="30000"/>
    <n v="-21286.45"/>
    <n v="-244.29136199999999"/>
  </r>
  <r>
    <s v="O0262"/>
    <x v="156"/>
    <x v="2"/>
    <d v="2024-04-23T00:00:00"/>
    <x v="3"/>
    <x v="3"/>
    <n v="16796.939999999999"/>
    <n v="30000"/>
    <n v="-13203.06"/>
    <n v="-78.603960000000001"/>
  </r>
  <r>
    <s v="O0263"/>
    <x v="141"/>
    <x v="3"/>
    <d v="2024-07-13T00:00:00"/>
    <x v="4"/>
    <x v="1"/>
    <n v="42589.52"/>
    <n v="12000"/>
    <n v="30589.52"/>
    <n v="71.824054000000004"/>
  </r>
  <r>
    <s v="O0264"/>
    <x v="152"/>
    <x v="0"/>
    <d v="2024-10-18T00:00:00"/>
    <x v="0"/>
    <x v="1"/>
    <n v="22386.95"/>
    <n v="12000"/>
    <n v="10386.950000000001"/>
    <n v="46.397342999999999"/>
  </r>
  <r>
    <s v="O0265"/>
    <x v="41"/>
    <x v="1"/>
    <d v="2024-06-01T00:00:00"/>
    <x v="6"/>
    <x v="2"/>
    <n v="5999.05"/>
    <n v="2000"/>
    <n v="3999.05"/>
    <n v="66.661388000000002"/>
  </r>
  <r>
    <s v="O0266"/>
    <x v="157"/>
    <x v="3"/>
    <d v="2024-02-01T00:00:00"/>
    <x v="9"/>
    <x v="1"/>
    <n v="43075.63"/>
    <n v="12000"/>
    <n v="31075.63"/>
    <n v="72.142021"/>
  </r>
  <r>
    <s v="O0267"/>
    <x v="55"/>
    <x v="2"/>
    <d v="2024-01-04T00:00:00"/>
    <x v="7"/>
    <x v="0"/>
    <n v="13282.78"/>
    <n v="500"/>
    <n v="12782.78"/>
    <n v="96.235727999999995"/>
  </r>
  <r>
    <s v="O0268"/>
    <x v="129"/>
    <x v="1"/>
    <d v="2024-10-06T00:00:00"/>
    <x v="0"/>
    <x v="1"/>
    <n v="9231.2099999999991"/>
    <n v="12000"/>
    <n v="-2768.79"/>
    <n v="-29.993793"/>
  </r>
  <r>
    <s v="O0269"/>
    <x v="32"/>
    <x v="2"/>
    <d v="2024-12-10T00:00:00"/>
    <x v="11"/>
    <x v="1"/>
    <n v="22825.5"/>
    <n v="12000"/>
    <n v="10825.5"/>
    <n v="47.427219999999998"/>
  </r>
  <r>
    <s v="O0270"/>
    <x v="122"/>
    <x v="0"/>
    <d v="2024-04-24T00:00:00"/>
    <x v="3"/>
    <x v="2"/>
    <n v="8925.39"/>
    <n v="2000"/>
    <n v="6925.39"/>
    <n v="77.592016000000001"/>
  </r>
  <r>
    <s v="O0271"/>
    <x v="158"/>
    <x v="3"/>
    <d v="2024-12-28T00:00:00"/>
    <x v="11"/>
    <x v="0"/>
    <n v="2851.82"/>
    <n v="500"/>
    <n v="2351.8200000000002"/>
    <n v="82.467337000000001"/>
  </r>
  <r>
    <s v="O0272"/>
    <x v="56"/>
    <x v="1"/>
    <d v="2024-05-11T00:00:00"/>
    <x v="5"/>
    <x v="0"/>
    <n v="22073.69"/>
    <n v="500"/>
    <n v="21573.69"/>
    <n v="97.734859999999998"/>
  </r>
  <r>
    <s v="O0273"/>
    <x v="110"/>
    <x v="1"/>
    <d v="2024-06-23T00:00:00"/>
    <x v="6"/>
    <x v="1"/>
    <n v="50198.83"/>
    <n v="12000"/>
    <n v="38198.83"/>
    <n v="76.095060000000004"/>
  </r>
  <r>
    <s v="O0274"/>
    <x v="60"/>
    <x v="3"/>
    <d v="2024-05-31T00:00:00"/>
    <x v="5"/>
    <x v="1"/>
    <n v="13864.29"/>
    <n v="12000"/>
    <n v="1864.29"/>
    <n v="13.446704"/>
  </r>
  <r>
    <s v="O0275"/>
    <x v="157"/>
    <x v="3"/>
    <d v="2024-05-25T00:00:00"/>
    <x v="5"/>
    <x v="0"/>
    <n v="36011.360000000001"/>
    <n v="500"/>
    <n v="35511.360000000001"/>
    <n v="98.611548999999997"/>
  </r>
  <r>
    <s v="O0276"/>
    <x v="8"/>
    <x v="2"/>
    <d v="2024-09-28T00:00:00"/>
    <x v="2"/>
    <x v="0"/>
    <n v="32236.59"/>
    <n v="500"/>
    <n v="31736.59"/>
    <n v="98.448966999999996"/>
  </r>
  <r>
    <s v="O0277"/>
    <x v="159"/>
    <x v="2"/>
    <d v="2024-02-07T00:00:00"/>
    <x v="9"/>
    <x v="1"/>
    <n v="32706"/>
    <n v="12000"/>
    <n v="20706"/>
    <n v="63.309483999999998"/>
  </r>
  <r>
    <s v="O0278"/>
    <x v="27"/>
    <x v="2"/>
    <d v="2024-06-08T00:00:00"/>
    <x v="6"/>
    <x v="3"/>
    <n v="42359.03"/>
    <n v="30000"/>
    <n v="12359.03"/>
    <n v="29.176848"/>
  </r>
  <r>
    <s v="O0279"/>
    <x v="122"/>
    <x v="0"/>
    <d v="2024-05-29T00:00:00"/>
    <x v="5"/>
    <x v="3"/>
    <n v="16517.48"/>
    <n v="30000"/>
    <n v="-13482.52"/>
    <n v="-81.625769000000005"/>
  </r>
  <r>
    <s v="O0280"/>
    <x v="158"/>
    <x v="3"/>
    <d v="2024-02-18T00:00:00"/>
    <x v="9"/>
    <x v="1"/>
    <n v="4538.34"/>
    <n v="12000"/>
    <n v="-7461.66"/>
    <n v="-164.413861"/>
  </r>
  <r>
    <s v="O0281"/>
    <x v="50"/>
    <x v="2"/>
    <d v="2024-12-22T00:00:00"/>
    <x v="11"/>
    <x v="0"/>
    <n v="14803.4"/>
    <n v="500"/>
    <n v="14303.4"/>
    <n v="96.622398000000004"/>
  </r>
  <r>
    <s v="O0282"/>
    <x v="154"/>
    <x v="1"/>
    <d v="2024-07-19T00:00:00"/>
    <x v="4"/>
    <x v="0"/>
    <n v="16704.77"/>
    <n v="500"/>
    <n v="16204.77"/>
    <n v="97.006843000000003"/>
  </r>
  <r>
    <s v="O0283"/>
    <x v="95"/>
    <x v="2"/>
    <d v="2024-05-07T00:00:00"/>
    <x v="5"/>
    <x v="3"/>
    <n v="26806.47"/>
    <n v="30000"/>
    <n v="-3193.53"/>
    <n v="-11.913281"/>
  </r>
  <r>
    <s v="O0284"/>
    <x v="58"/>
    <x v="1"/>
    <d v="2024-05-11T00:00:00"/>
    <x v="5"/>
    <x v="1"/>
    <n v="14787.97"/>
    <n v="12000"/>
    <n v="2787.97"/>
    <n v="18.852959999999999"/>
  </r>
  <r>
    <s v="O0285"/>
    <x v="71"/>
    <x v="3"/>
    <d v="2024-02-10T00:00:00"/>
    <x v="9"/>
    <x v="0"/>
    <n v="32785.839999999997"/>
    <n v="500"/>
    <n v="32285.84"/>
    <n v="98.474951000000004"/>
  </r>
  <r>
    <s v="O0286"/>
    <x v="142"/>
    <x v="3"/>
    <d v="2024-08-02T00:00:00"/>
    <x v="8"/>
    <x v="3"/>
    <n v="50139.98"/>
    <n v="30000"/>
    <n v="20139.98"/>
    <n v="40.167507000000001"/>
  </r>
  <r>
    <s v="O0287"/>
    <x v="13"/>
    <x v="2"/>
    <d v="2024-05-15T00:00:00"/>
    <x v="5"/>
    <x v="3"/>
    <n v="24006.639999999999"/>
    <n v="30000"/>
    <n v="-5993.36"/>
    <n v="-24.965426000000001"/>
  </r>
  <r>
    <s v="O0288"/>
    <x v="160"/>
    <x v="0"/>
    <d v="2024-11-25T00:00:00"/>
    <x v="10"/>
    <x v="0"/>
    <n v="10284.65"/>
    <n v="500"/>
    <n v="9784.65"/>
    <n v="95.138385999999997"/>
  </r>
  <r>
    <s v="O0289"/>
    <x v="13"/>
    <x v="2"/>
    <d v="2024-01-03T00:00:00"/>
    <x v="7"/>
    <x v="1"/>
    <n v="20753.48"/>
    <n v="12000"/>
    <n v="8753.48"/>
    <n v="42.178372000000003"/>
  </r>
  <r>
    <s v="O0290"/>
    <x v="161"/>
    <x v="3"/>
    <d v="2024-09-15T00:00:00"/>
    <x v="2"/>
    <x v="2"/>
    <n v="46719.81"/>
    <n v="2000"/>
    <n v="44719.81"/>
    <n v="95.719161"/>
  </r>
  <r>
    <s v="O0291"/>
    <x v="125"/>
    <x v="0"/>
    <d v="2024-07-14T00:00:00"/>
    <x v="4"/>
    <x v="3"/>
    <n v="3124.4"/>
    <n v="30000"/>
    <n v="-26875.599999999999"/>
    <n v="-860.18435499999998"/>
  </r>
  <r>
    <s v="O0292"/>
    <x v="17"/>
    <x v="2"/>
    <d v="2024-04-17T00:00:00"/>
    <x v="3"/>
    <x v="0"/>
    <n v="40076.32"/>
    <n v="500"/>
    <n v="39576.32"/>
    <n v="98.752380000000002"/>
  </r>
  <r>
    <s v="O0293"/>
    <x v="158"/>
    <x v="3"/>
    <d v="2024-06-24T00:00:00"/>
    <x v="6"/>
    <x v="3"/>
    <n v="37847.83"/>
    <n v="30000"/>
    <n v="7847.83"/>
    <n v="20.735218"/>
  </r>
  <r>
    <s v="O0294"/>
    <x v="162"/>
    <x v="2"/>
    <d v="2024-04-18T00:00:00"/>
    <x v="3"/>
    <x v="0"/>
    <n v="21508.53"/>
    <n v="500"/>
    <n v="21008.53"/>
    <n v="97.675341000000003"/>
  </r>
  <r>
    <s v="O0295"/>
    <x v="27"/>
    <x v="2"/>
    <d v="2024-01-17T00:00:00"/>
    <x v="7"/>
    <x v="1"/>
    <n v="12557.4"/>
    <n v="12000"/>
    <n v="557.4"/>
    <n v="4.4388170000000002"/>
  </r>
  <r>
    <s v="O0296"/>
    <x v="163"/>
    <x v="2"/>
    <d v="2024-09-06T00:00:00"/>
    <x v="2"/>
    <x v="0"/>
    <n v="30097.26"/>
    <n v="500"/>
    <n v="29597.26"/>
    <n v="98.338718999999998"/>
  </r>
  <r>
    <s v="O0297"/>
    <x v="150"/>
    <x v="3"/>
    <d v="2024-12-13T00:00:00"/>
    <x v="11"/>
    <x v="1"/>
    <n v="26508.79"/>
    <n v="12000"/>
    <n v="14508.79"/>
    <n v="54.731996000000002"/>
  </r>
  <r>
    <s v="O0298"/>
    <x v="27"/>
    <x v="2"/>
    <d v="2024-01-20T00:00:00"/>
    <x v="7"/>
    <x v="1"/>
    <n v="21329.21"/>
    <n v="12000"/>
    <n v="9329.2099999999991"/>
    <n v="43.739125999999999"/>
  </r>
  <r>
    <s v="O0299"/>
    <x v="91"/>
    <x v="2"/>
    <d v="2024-10-21T00:00:00"/>
    <x v="0"/>
    <x v="2"/>
    <n v="3447.29"/>
    <n v="2000"/>
    <n v="1447.29"/>
    <n v="41.983412999999999"/>
  </r>
  <r>
    <s v="O0300"/>
    <x v="121"/>
    <x v="2"/>
    <d v="2024-09-18T00:00:00"/>
    <x v="2"/>
    <x v="0"/>
    <n v="36264.370000000003"/>
    <n v="500"/>
    <n v="35764.370000000003"/>
    <n v="98.621235999999996"/>
  </r>
  <r>
    <s v="O0301"/>
    <x v="18"/>
    <x v="2"/>
    <d v="2024-10-08T00:00:00"/>
    <x v="0"/>
    <x v="1"/>
    <n v="36762.160000000003"/>
    <n v="12000"/>
    <n v="24762.16"/>
    <n v="67.357740000000007"/>
  </r>
  <r>
    <s v="O0302"/>
    <x v="144"/>
    <x v="3"/>
    <d v="2024-12-22T00:00:00"/>
    <x v="11"/>
    <x v="1"/>
    <n v="46440.7"/>
    <n v="12000"/>
    <n v="34440.699999999997"/>
    <n v="74.160595999999998"/>
  </r>
  <r>
    <s v="O0303"/>
    <x v="164"/>
    <x v="3"/>
    <d v="2024-11-30T00:00:00"/>
    <x v="10"/>
    <x v="2"/>
    <n v="1335.38"/>
    <n v="2000"/>
    <n v="-664.62"/>
    <n v="-49.770102999999999"/>
  </r>
  <r>
    <s v="O0304"/>
    <x v="112"/>
    <x v="1"/>
    <d v="2024-02-12T00:00:00"/>
    <x v="9"/>
    <x v="1"/>
    <n v="19100.150000000001"/>
    <n v="12000"/>
    <n v="7100.15"/>
    <n v="37.173268"/>
  </r>
  <r>
    <s v="O0305"/>
    <x v="115"/>
    <x v="0"/>
    <d v="2024-08-20T00:00:00"/>
    <x v="8"/>
    <x v="3"/>
    <n v="32729.35"/>
    <n v="30000"/>
    <n v="2729.35"/>
    <n v="8.3391509999999993"/>
  </r>
  <r>
    <s v="O0306"/>
    <x v="165"/>
    <x v="1"/>
    <d v="2024-11-29T00:00:00"/>
    <x v="10"/>
    <x v="3"/>
    <n v="18960.23"/>
    <n v="30000"/>
    <n v="-11039.77"/>
    <n v="-58.225929000000001"/>
  </r>
  <r>
    <s v="O0307"/>
    <x v="166"/>
    <x v="2"/>
    <d v="2024-07-29T00:00:00"/>
    <x v="4"/>
    <x v="2"/>
    <n v="47612.02"/>
    <n v="2000"/>
    <n v="45612.02"/>
    <n v="95.799379999999999"/>
  </r>
  <r>
    <s v="O0308"/>
    <x v="167"/>
    <x v="2"/>
    <d v="2024-04-07T00:00:00"/>
    <x v="3"/>
    <x v="3"/>
    <n v="4891.21"/>
    <n v="30000"/>
    <n v="-25108.79"/>
    <n v="-513.34516399999995"/>
  </r>
  <r>
    <s v="O0309"/>
    <x v="22"/>
    <x v="1"/>
    <d v="2024-08-13T00:00:00"/>
    <x v="8"/>
    <x v="1"/>
    <n v="29315.87"/>
    <n v="12000"/>
    <n v="17315.87"/>
    <n v="59.066540000000003"/>
  </r>
  <r>
    <s v="O0310"/>
    <x v="141"/>
    <x v="3"/>
    <d v="2024-11-21T00:00:00"/>
    <x v="10"/>
    <x v="1"/>
    <n v="36842.720000000001"/>
    <n v="12000"/>
    <n v="24842.720000000001"/>
    <n v="67.429114999999996"/>
  </r>
  <r>
    <s v="O0311"/>
    <x v="166"/>
    <x v="2"/>
    <d v="2024-07-14T00:00:00"/>
    <x v="4"/>
    <x v="1"/>
    <n v="3751.08"/>
    <n v="12000"/>
    <n v="-8248.92"/>
    <n v="-219.90786700000001"/>
  </r>
  <r>
    <s v="O0312"/>
    <x v="168"/>
    <x v="0"/>
    <d v="2024-01-23T00:00:00"/>
    <x v="7"/>
    <x v="3"/>
    <n v="14569.59"/>
    <n v="30000"/>
    <n v="-15430.41"/>
    <n v="-105.908334"/>
  </r>
  <r>
    <s v="O0313"/>
    <x v="6"/>
    <x v="0"/>
    <d v="2024-08-07T00:00:00"/>
    <x v="8"/>
    <x v="2"/>
    <n v="13136.41"/>
    <n v="2000"/>
    <n v="11136.41"/>
    <n v="84.775139999999993"/>
  </r>
  <r>
    <s v="O0314"/>
    <x v="55"/>
    <x v="2"/>
    <d v="2024-09-12T00:00:00"/>
    <x v="2"/>
    <x v="1"/>
    <n v="20295.650000000001"/>
    <n v="12000"/>
    <n v="8295.65"/>
    <n v="40.874029999999998"/>
  </r>
  <r>
    <s v="O0315"/>
    <x v="67"/>
    <x v="0"/>
    <d v="2024-11-28T00:00:00"/>
    <x v="10"/>
    <x v="0"/>
    <n v="28435.96"/>
    <n v="500"/>
    <n v="27935.96"/>
    <n v="98.241663000000003"/>
  </r>
  <r>
    <s v="O0316"/>
    <x v="19"/>
    <x v="3"/>
    <d v="2024-05-31T00:00:00"/>
    <x v="5"/>
    <x v="0"/>
    <n v="45703.01"/>
    <n v="500"/>
    <n v="45203.01"/>
    <n v="98.90598"/>
  </r>
  <r>
    <s v="O0317"/>
    <x v="128"/>
    <x v="2"/>
    <d v="2024-02-27T00:00:00"/>
    <x v="9"/>
    <x v="1"/>
    <n v="36500.629999999997"/>
    <n v="12000"/>
    <n v="24500.63"/>
    <n v="67.123855000000006"/>
  </r>
  <r>
    <s v="O0318"/>
    <x v="74"/>
    <x v="1"/>
    <d v="2024-05-31T00:00:00"/>
    <x v="5"/>
    <x v="1"/>
    <n v="17099.009999999998"/>
    <n v="12000"/>
    <n v="5099.01"/>
    <n v="29.820498000000001"/>
  </r>
  <r>
    <s v="O0319"/>
    <x v="160"/>
    <x v="0"/>
    <d v="2024-09-28T00:00:00"/>
    <x v="2"/>
    <x v="0"/>
    <n v="35887.35"/>
    <n v="500"/>
    <n v="35387.35"/>
    <n v="98.606751000000003"/>
  </r>
  <r>
    <s v="O0320"/>
    <x v="38"/>
    <x v="2"/>
    <d v="2024-01-09T00:00:00"/>
    <x v="7"/>
    <x v="0"/>
    <n v="13277.35"/>
    <n v="500"/>
    <n v="12777.35"/>
    <n v="96.234188000000003"/>
  </r>
  <r>
    <s v="O0321"/>
    <x v="154"/>
    <x v="1"/>
    <d v="2024-03-19T00:00:00"/>
    <x v="1"/>
    <x v="3"/>
    <n v="47961.81"/>
    <n v="30000"/>
    <n v="17961.810000000001"/>
    <n v="37.450234000000002"/>
  </r>
  <r>
    <s v="O0322"/>
    <x v="150"/>
    <x v="3"/>
    <d v="2024-04-15T00:00:00"/>
    <x v="3"/>
    <x v="3"/>
    <n v="1783.79"/>
    <n v="30000"/>
    <n v="-28216.21"/>
    <n v="-1581.8123210000001"/>
  </r>
  <r>
    <s v="O0323"/>
    <x v="132"/>
    <x v="2"/>
    <d v="2024-08-09T00:00:00"/>
    <x v="8"/>
    <x v="1"/>
    <n v="10876.74"/>
    <n v="12000"/>
    <n v="-1123.26"/>
    <n v="-10.327175"/>
  </r>
  <r>
    <s v="O0324"/>
    <x v="169"/>
    <x v="3"/>
    <d v="2024-12-16T00:00:00"/>
    <x v="11"/>
    <x v="1"/>
    <n v="44238.47"/>
    <n v="12000"/>
    <n v="32238.47"/>
    <n v="72.874288000000007"/>
  </r>
  <r>
    <s v="O0325"/>
    <x v="110"/>
    <x v="1"/>
    <d v="2024-11-17T00:00:00"/>
    <x v="10"/>
    <x v="1"/>
    <n v="43195.47"/>
    <n v="12000"/>
    <n v="31195.47"/>
    <n v="72.219308999999996"/>
  </r>
  <r>
    <s v="O0326"/>
    <x v="35"/>
    <x v="0"/>
    <d v="2024-03-16T00:00:00"/>
    <x v="1"/>
    <x v="3"/>
    <n v="47869.45"/>
    <n v="30000"/>
    <n v="17869.45"/>
    <n v="37.329549"/>
  </r>
  <r>
    <s v="O0327"/>
    <x v="18"/>
    <x v="2"/>
    <d v="2024-07-20T00:00:00"/>
    <x v="4"/>
    <x v="1"/>
    <n v="45440.7"/>
    <n v="12000"/>
    <n v="33440.699999999997"/>
    <n v="73.591955999999996"/>
  </r>
  <r>
    <s v="O0328"/>
    <x v="170"/>
    <x v="1"/>
    <d v="2024-11-14T00:00:00"/>
    <x v="10"/>
    <x v="3"/>
    <n v="27251.65"/>
    <n v="30000"/>
    <n v="-2748.35"/>
    <n v="-10.085077"/>
  </r>
  <r>
    <s v="O0329"/>
    <x v="35"/>
    <x v="0"/>
    <d v="2024-10-15T00:00:00"/>
    <x v="0"/>
    <x v="3"/>
    <n v="38591.760000000002"/>
    <n v="30000"/>
    <n v="8591.76"/>
    <n v="22.263197999999999"/>
  </r>
  <r>
    <s v="O0330"/>
    <x v="66"/>
    <x v="2"/>
    <d v="2024-08-23T00:00:00"/>
    <x v="8"/>
    <x v="3"/>
    <n v="35204.99"/>
    <n v="30000"/>
    <n v="5204.99"/>
    <n v="14.784807000000001"/>
  </r>
  <r>
    <s v="O0331"/>
    <x v="171"/>
    <x v="0"/>
    <d v="2024-08-08T00:00:00"/>
    <x v="8"/>
    <x v="0"/>
    <n v="34064.33"/>
    <n v="500"/>
    <n v="33564.33"/>
    <n v="98.532189000000002"/>
  </r>
  <r>
    <s v="O0332"/>
    <x v="35"/>
    <x v="0"/>
    <d v="2024-07-19T00:00:00"/>
    <x v="4"/>
    <x v="0"/>
    <n v="24569.4"/>
    <n v="500"/>
    <n v="24069.4"/>
    <n v="97.964948000000007"/>
  </r>
  <r>
    <s v="O0333"/>
    <x v="2"/>
    <x v="1"/>
    <d v="2024-03-03T00:00:00"/>
    <x v="1"/>
    <x v="1"/>
    <n v="46731.4"/>
    <n v="12000"/>
    <n v="34731.4"/>
    <n v="74.321333999999993"/>
  </r>
  <r>
    <s v="O0334"/>
    <x v="115"/>
    <x v="0"/>
    <d v="2024-10-28T00:00:00"/>
    <x v="0"/>
    <x v="3"/>
    <n v="42950.44"/>
    <n v="30000"/>
    <n v="12950.44"/>
    <n v="30.152054"/>
  </r>
  <r>
    <s v="O0335"/>
    <x v="43"/>
    <x v="0"/>
    <d v="2024-05-15T00:00:00"/>
    <x v="5"/>
    <x v="2"/>
    <n v="30666.95"/>
    <n v="2000"/>
    <n v="28666.95"/>
    <n v="93.478320999999994"/>
  </r>
  <r>
    <s v="O0336"/>
    <x v="78"/>
    <x v="2"/>
    <d v="2024-03-31T00:00:00"/>
    <x v="1"/>
    <x v="0"/>
    <n v="31292.54"/>
    <n v="500"/>
    <n v="30792.54"/>
    <n v="98.402175"/>
  </r>
  <r>
    <s v="O0337"/>
    <x v="172"/>
    <x v="3"/>
    <d v="2024-12-30T00:00:00"/>
    <x v="11"/>
    <x v="2"/>
    <n v="38931.519999999997"/>
    <n v="2000"/>
    <n v="36931.519999999997"/>
    <n v="94.862774000000002"/>
  </r>
  <r>
    <s v="O0338"/>
    <x v="31"/>
    <x v="1"/>
    <d v="2024-07-25T00:00:00"/>
    <x v="4"/>
    <x v="0"/>
    <n v="4407.57"/>
    <n v="500"/>
    <n v="3907.57"/>
    <n v="88.655880999999994"/>
  </r>
  <r>
    <s v="O0339"/>
    <x v="141"/>
    <x v="3"/>
    <d v="2024-05-18T00:00:00"/>
    <x v="5"/>
    <x v="2"/>
    <n v="25307.57"/>
    <n v="2000"/>
    <n v="23307.57"/>
    <n v="92.097226000000006"/>
  </r>
  <r>
    <s v="O0340"/>
    <x v="54"/>
    <x v="3"/>
    <d v="2024-02-18T00:00:00"/>
    <x v="9"/>
    <x v="2"/>
    <n v="42128.65"/>
    <n v="2000"/>
    <n v="40128.65"/>
    <n v="95.252636999999993"/>
  </r>
  <r>
    <s v="O0341"/>
    <x v="31"/>
    <x v="1"/>
    <d v="2024-06-12T00:00:00"/>
    <x v="6"/>
    <x v="1"/>
    <n v="24521.35"/>
    <n v="12000"/>
    <n v="12521.35"/>
    <n v="51.063052999999996"/>
  </r>
  <r>
    <s v="O0342"/>
    <x v="173"/>
    <x v="2"/>
    <d v="2024-08-01T00:00:00"/>
    <x v="8"/>
    <x v="2"/>
    <n v="16229.72"/>
    <n v="2000"/>
    <n v="14229.72"/>
    <n v="87.676928000000004"/>
  </r>
  <r>
    <s v="O0343"/>
    <x v="34"/>
    <x v="1"/>
    <d v="2024-05-31T00:00:00"/>
    <x v="5"/>
    <x v="0"/>
    <n v="14644.58"/>
    <n v="500"/>
    <n v="14144.58"/>
    <n v="96.585768000000002"/>
  </r>
  <r>
    <s v="O0344"/>
    <x v="100"/>
    <x v="2"/>
    <d v="2024-02-10T00:00:00"/>
    <x v="9"/>
    <x v="2"/>
    <n v="41439.5"/>
    <n v="2000"/>
    <n v="39439.5"/>
    <n v="95.173687000000001"/>
  </r>
  <r>
    <s v="O0345"/>
    <x v="1"/>
    <x v="1"/>
    <d v="2024-03-14T00:00:00"/>
    <x v="1"/>
    <x v="1"/>
    <n v="49136.160000000003"/>
    <n v="12000"/>
    <n v="37136.160000000003"/>
    <n v="75.578067000000004"/>
  </r>
  <r>
    <s v="O0346"/>
    <x v="174"/>
    <x v="3"/>
    <d v="2024-08-19T00:00:00"/>
    <x v="8"/>
    <x v="3"/>
    <n v="40538.120000000003"/>
    <n v="30000"/>
    <n v="10538.12"/>
    <n v="25.995581000000001"/>
  </r>
  <r>
    <s v="O0347"/>
    <x v="118"/>
    <x v="0"/>
    <d v="2024-09-25T00:00:00"/>
    <x v="2"/>
    <x v="3"/>
    <n v="38141.379999999997"/>
    <n v="30000"/>
    <n v="8141.38"/>
    <n v="21.345268999999998"/>
  </r>
  <r>
    <s v="O0348"/>
    <x v="51"/>
    <x v="0"/>
    <d v="2024-11-13T00:00:00"/>
    <x v="10"/>
    <x v="1"/>
    <n v="42276.98"/>
    <n v="12000"/>
    <n v="30276.98"/>
    <n v="71.615758999999997"/>
  </r>
  <r>
    <s v="O0349"/>
    <x v="81"/>
    <x v="3"/>
    <d v="2024-04-11T00:00:00"/>
    <x v="3"/>
    <x v="1"/>
    <n v="24694.89"/>
    <n v="12000"/>
    <n v="12694.89"/>
    <n v="51.406950999999999"/>
  </r>
  <r>
    <s v="O0350"/>
    <x v="155"/>
    <x v="0"/>
    <d v="2024-08-06T00:00:00"/>
    <x v="8"/>
    <x v="0"/>
    <n v="36164.22"/>
    <n v="500"/>
    <n v="35664.22"/>
    <n v="98.617418000000001"/>
  </r>
  <r>
    <s v="O0351"/>
    <x v="163"/>
    <x v="2"/>
    <d v="2024-03-22T00:00:00"/>
    <x v="1"/>
    <x v="2"/>
    <n v="25863.86"/>
    <n v="2000"/>
    <n v="23863.86"/>
    <n v="92.267201999999997"/>
  </r>
  <r>
    <s v="O0352"/>
    <x v="175"/>
    <x v="1"/>
    <d v="2024-03-28T00:00:00"/>
    <x v="1"/>
    <x v="1"/>
    <n v="45797.3"/>
    <n v="12000"/>
    <n v="33797.300000000003"/>
    <n v="73.797582000000006"/>
  </r>
  <r>
    <s v="O0353"/>
    <x v="45"/>
    <x v="3"/>
    <d v="2024-07-29T00:00:00"/>
    <x v="4"/>
    <x v="2"/>
    <n v="596.95000000000005"/>
    <n v="2000"/>
    <n v="-1403.05"/>
    <n v="-235.03643500000001"/>
  </r>
  <r>
    <s v="O0354"/>
    <x v="144"/>
    <x v="3"/>
    <d v="2024-11-15T00:00:00"/>
    <x v="10"/>
    <x v="0"/>
    <n v="36258.32"/>
    <n v="500"/>
    <n v="35758.32"/>
    <n v="98.621005999999994"/>
  </r>
  <r>
    <s v="O0355"/>
    <x v="94"/>
    <x v="1"/>
    <d v="2024-08-21T00:00:00"/>
    <x v="8"/>
    <x v="3"/>
    <n v="20468.03"/>
    <n v="30000"/>
    <n v="-9531.9699999999993"/>
    <n v="-46.570041000000003"/>
  </r>
  <r>
    <s v="O0356"/>
    <x v="144"/>
    <x v="3"/>
    <d v="2024-10-06T00:00:00"/>
    <x v="0"/>
    <x v="1"/>
    <n v="14067.08"/>
    <n v="12000"/>
    <n v="2067.08"/>
    <n v="14.69445"/>
  </r>
  <r>
    <s v="O0357"/>
    <x v="79"/>
    <x v="2"/>
    <d v="2024-02-07T00:00:00"/>
    <x v="9"/>
    <x v="2"/>
    <n v="9720"/>
    <n v="2000"/>
    <n v="7720"/>
    <n v="79.423867999999999"/>
  </r>
  <r>
    <s v="O0358"/>
    <x v="49"/>
    <x v="3"/>
    <d v="2024-06-12T00:00:00"/>
    <x v="6"/>
    <x v="1"/>
    <n v="3203.32"/>
    <n v="12000"/>
    <n v="-8796.68"/>
    <n v="-274.61134099999998"/>
  </r>
  <r>
    <s v="O0359"/>
    <x v="0"/>
    <x v="0"/>
    <d v="2024-06-30T00:00:00"/>
    <x v="6"/>
    <x v="1"/>
    <n v="47437.55"/>
    <n v="12000"/>
    <n v="35437.550000000003"/>
    <n v="74.703584000000006"/>
  </r>
  <r>
    <s v="O0360"/>
    <x v="159"/>
    <x v="2"/>
    <d v="2024-02-21T00:00:00"/>
    <x v="9"/>
    <x v="2"/>
    <n v="26488.73"/>
    <n v="2000"/>
    <n v="24488.73"/>
    <n v="92.449618999999998"/>
  </r>
  <r>
    <s v="O0361"/>
    <x v="48"/>
    <x v="2"/>
    <d v="2024-07-31T00:00:00"/>
    <x v="4"/>
    <x v="3"/>
    <n v="28058.47"/>
    <n v="30000"/>
    <n v="-1941.53"/>
    <n v="-6.9195859999999998"/>
  </r>
  <r>
    <s v="O0362"/>
    <x v="176"/>
    <x v="3"/>
    <d v="2024-05-30T00:00:00"/>
    <x v="5"/>
    <x v="1"/>
    <n v="33978.879999999997"/>
    <n v="12000"/>
    <n v="21978.880000000001"/>
    <n v="64.683944999999994"/>
  </r>
  <r>
    <s v="O0363"/>
    <x v="42"/>
    <x v="3"/>
    <d v="2024-05-24T00:00:00"/>
    <x v="5"/>
    <x v="0"/>
    <n v="35143.03"/>
    <n v="500"/>
    <n v="34643.03"/>
    <n v="98.577242999999996"/>
  </r>
  <r>
    <s v="O0364"/>
    <x v="124"/>
    <x v="0"/>
    <d v="2024-06-04T00:00:00"/>
    <x v="6"/>
    <x v="1"/>
    <n v="13598.26"/>
    <n v="12000"/>
    <n v="1598.26"/>
    <n v="11.753416"/>
  </r>
  <r>
    <s v="O0365"/>
    <x v="177"/>
    <x v="2"/>
    <d v="2024-07-20T00:00:00"/>
    <x v="4"/>
    <x v="1"/>
    <n v="2180.3000000000002"/>
    <n v="12000"/>
    <n v="-9819.7000000000007"/>
    <n v="-450.38297499999999"/>
  </r>
  <r>
    <s v="O0366"/>
    <x v="136"/>
    <x v="3"/>
    <d v="2024-11-08T00:00:00"/>
    <x v="10"/>
    <x v="1"/>
    <n v="46063.05"/>
    <n v="12000"/>
    <n v="34063.050000000003"/>
    <n v="73.948751000000001"/>
  </r>
  <r>
    <s v="O0367"/>
    <x v="116"/>
    <x v="1"/>
    <d v="2024-12-29T00:00:00"/>
    <x v="11"/>
    <x v="3"/>
    <n v="47684.959999999999"/>
    <n v="30000"/>
    <n v="17684.96"/>
    <n v="37.087082000000002"/>
  </r>
  <r>
    <s v="O0368"/>
    <x v="98"/>
    <x v="0"/>
    <d v="2024-04-24T00:00:00"/>
    <x v="3"/>
    <x v="2"/>
    <n v="26493.85"/>
    <n v="2000"/>
    <n v="24493.85"/>
    <n v="92.451077999999995"/>
  </r>
  <r>
    <s v="O0369"/>
    <x v="37"/>
    <x v="3"/>
    <d v="2024-09-30T00:00:00"/>
    <x v="2"/>
    <x v="2"/>
    <n v="25488.63"/>
    <n v="2000"/>
    <n v="23488.63"/>
    <n v="92.153363999999996"/>
  </r>
  <r>
    <s v="O0370"/>
    <x v="146"/>
    <x v="0"/>
    <d v="2024-03-27T00:00:00"/>
    <x v="1"/>
    <x v="0"/>
    <n v="42224.97"/>
    <n v="500"/>
    <n v="41724.97"/>
    <n v="98.815866999999997"/>
  </r>
  <r>
    <s v="O0371"/>
    <x v="34"/>
    <x v="1"/>
    <d v="2024-04-14T00:00:00"/>
    <x v="3"/>
    <x v="1"/>
    <n v="22592.49"/>
    <n v="12000"/>
    <n v="10592.49"/>
    <n v="46.885005"/>
  </r>
  <r>
    <s v="O0372"/>
    <x v="123"/>
    <x v="1"/>
    <d v="2024-10-11T00:00:00"/>
    <x v="0"/>
    <x v="1"/>
    <n v="47753.06"/>
    <n v="12000"/>
    <n v="35753.06"/>
    <n v="74.870720000000006"/>
  </r>
  <r>
    <s v="O0373"/>
    <x v="178"/>
    <x v="0"/>
    <d v="2024-09-03T00:00:00"/>
    <x v="2"/>
    <x v="2"/>
    <n v="30295.66"/>
    <n v="2000"/>
    <n v="28295.66"/>
    <n v="93.398393999999996"/>
  </r>
  <r>
    <s v="O0374"/>
    <x v="179"/>
    <x v="3"/>
    <d v="2024-01-20T00:00:00"/>
    <x v="7"/>
    <x v="1"/>
    <n v="16610.599999999999"/>
    <n v="12000"/>
    <n v="4610.6000000000004"/>
    <n v="27.756974"/>
  </r>
  <r>
    <s v="O0375"/>
    <x v="161"/>
    <x v="3"/>
    <d v="2024-11-14T00:00:00"/>
    <x v="10"/>
    <x v="1"/>
    <n v="23295.34"/>
    <n v="12000"/>
    <n v="11295.34"/>
    <n v="48.487552000000001"/>
  </r>
  <r>
    <s v="O0376"/>
    <x v="53"/>
    <x v="0"/>
    <d v="2024-12-21T00:00:00"/>
    <x v="11"/>
    <x v="1"/>
    <n v="8758.94"/>
    <n v="12000"/>
    <n v="-3241.06"/>
    <n v="-37.002879"/>
  </r>
  <r>
    <s v="O0377"/>
    <x v="171"/>
    <x v="0"/>
    <d v="2024-02-28T00:00:00"/>
    <x v="9"/>
    <x v="2"/>
    <n v="43172.63"/>
    <n v="2000"/>
    <n v="41172.629999999997"/>
    <n v="95.367435"/>
  </r>
  <r>
    <s v="O0378"/>
    <x v="166"/>
    <x v="2"/>
    <d v="2024-02-10T00:00:00"/>
    <x v="9"/>
    <x v="3"/>
    <n v="35715.120000000003"/>
    <n v="30000"/>
    <n v="5715.12"/>
    <n v="16.001961999999999"/>
  </r>
  <r>
    <s v="O0379"/>
    <x v="171"/>
    <x v="0"/>
    <d v="2024-03-08T00:00:00"/>
    <x v="1"/>
    <x v="0"/>
    <n v="23353.74"/>
    <n v="500"/>
    <n v="22853.74"/>
    <n v="97.859014999999999"/>
  </r>
  <r>
    <s v="O0380"/>
    <x v="54"/>
    <x v="3"/>
    <d v="2024-06-01T00:00:00"/>
    <x v="6"/>
    <x v="3"/>
    <n v="2493.4"/>
    <n v="30000"/>
    <n v="-27506.6"/>
    <n v="-1103.1763860000001"/>
  </r>
  <r>
    <s v="O0381"/>
    <x v="42"/>
    <x v="3"/>
    <d v="2024-12-10T00:00:00"/>
    <x v="11"/>
    <x v="2"/>
    <n v="37301.199999999997"/>
    <n v="2000"/>
    <n v="35301.199999999997"/>
    <n v="94.638242000000005"/>
  </r>
  <r>
    <s v="O0382"/>
    <x v="172"/>
    <x v="3"/>
    <d v="2024-10-10T00:00:00"/>
    <x v="0"/>
    <x v="1"/>
    <n v="47879.21"/>
    <n v="12000"/>
    <n v="35879.21"/>
    <n v="74.936930000000004"/>
  </r>
  <r>
    <s v="O0383"/>
    <x v="42"/>
    <x v="3"/>
    <d v="2024-11-25T00:00:00"/>
    <x v="10"/>
    <x v="2"/>
    <n v="42149.5"/>
    <n v="2000"/>
    <n v="40149.5"/>
    <n v="95.254985000000005"/>
  </r>
  <r>
    <s v="O0384"/>
    <x v="43"/>
    <x v="0"/>
    <d v="2024-08-02T00:00:00"/>
    <x v="8"/>
    <x v="0"/>
    <n v="20371.39"/>
    <n v="500"/>
    <n v="19871.39"/>
    <n v="97.545576999999994"/>
  </r>
  <r>
    <s v="O0385"/>
    <x v="22"/>
    <x v="1"/>
    <d v="2024-11-07T00:00:00"/>
    <x v="10"/>
    <x v="1"/>
    <n v="39973.879999999997"/>
    <n v="12000"/>
    <n v="27973.88"/>
    <n v="69.980396999999996"/>
  </r>
  <r>
    <s v="O0386"/>
    <x v="27"/>
    <x v="2"/>
    <d v="2024-12-26T00:00:00"/>
    <x v="11"/>
    <x v="0"/>
    <n v="45733.69"/>
    <n v="500"/>
    <n v="45233.69"/>
    <n v="98.906713999999994"/>
  </r>
  <r>
    <s v="O0387"/>
    <x v="57"/>
    <x v="3"/>
    <d v="2024-09-25T00:00:00"/>
    <x v="2"/>
    <x v="0"/>
    <n v="28045"/>
    <n v="500"/>
    <n v="27545"/>
    <n v="98.217151000000001"/>
  </r>
  <r>
    <s v="O0388"/>
    <x v="144"/>
    <x v="3"/>
    <d v="2024-09-11T00:00:00"/>
    <x v="2"/>
    <x v="0"/>
    <n v="37585.99"/>
    <n v="500"/>
    <n v="37085.99"/>
    <n v="98.669717000000006"/>
  </r>
  <r>
    <s v="O0389"/>
    <x v="149"/>
    <x v="0"/>
    <d v="2024-09-15T00:00:00"/>
    <x v="2"/>
    <x v="3"/>
    <n v="8900.51"/>
    <n v="30000"/>
    <n v="-21099.49"/>
    <n v="-237.059337"/>
  </r>
  <r>
    <s v="O0390"/>
    <x v="123"/>
    <x v="1"/>
    <d v="2024-01-30T00:00:00"/>
    <x v="7"/>
    <x v="0"/>
    <n v="29358.77"/>
    <n v="500"/>
    <n v="28858.77"/>
    <n v="98.296931000000001"/>
  </r>
  <r>
    <s v="O0391"/>
    <x v="67"/>
    <x v="0"/>
    <d v="2024-03-07T00:00:00"/>
    <x v="1"/>
    <x v="3"/>
    <n v="25862.49"/>
    <n v="30000"/>
    <n v="-4137.51"/>
    <n v="-15.998112000000001"/>
  </r>
  <r>
    <s v="O0392"/>
    <x v="54"/>
    <x v="3"/>
    <d v="2024-04-27T00:00:00"/>
    <x v="3"/>
    <x v="2"/>
    <n v="47493.74"/>
    <n v="2000"/>
    <n v="45493.74"/>
    <n v="95.788919000000007"/>
  </r>
  <r>
    <s v="O0393"/>
    <x v="44"/>
    <x v="3"/>
    <d v="2024-12-24T00:00:00"/>
    <x v="11"/>
    <x v="3"/>
    <n v="3182.76"/>
    <n v="30000"/>
    <n v="-26817.24"/>
    <n v="-842.57813999999996"/>
  </r>
  <r>
    <s v="O0394"/>
    <x v="120"/>
    <x v="2"/>
    <d v="2024-01-23T00:00:00"/>
    <x v="7"/>
    <x v="0"/>
    <n v="38097.03"/>
    <n v="500"/>
    <n v="37597.03"/>
    <n v="98.687562"/>
  </r>
  <r>
    <s v="O0395"/>
    <x v="64"/>
    <x v="2"/>
    <d v="2024-07-04T00:00:00"/>
    <x v="4"/>
    <x v="1"/>
    <n v="4210.91"/>
    <n v="12000"/>
    <n v="-7789.09"/>
    <n v="-184.97403199999999"/>
  </r>
  <r>
    <s v="O0396"/>
    <x v="149"/>
    <x v="0"/>
    <d v="2024-12-01T00:00:00"/>
    <x v="11"/>
    <x v="3"/>
    <n v="38012.1"/>
    <n v="30000"/>
    <n v="8012.1"/>
    <n v="21.077762"/>
  </r>
  <r>
    <s v="O0397"/>
    <x v="131"/>
    <x v="3"/>
    <d v="2024-08-10T00:00:00"/>
    <x v="8"/>
    <x v="3"/>
    <n v="29104.02"/>
    <n v="30000"/>
    <n v="-895.98"/>
    <n v="-3.0785439999999999"/>
  </r>
  <r>
    <s v="O0398"/>
    <x v="159"/>
    <x v="2"/>
    <d v="2024-01-02T00:00:00"/>
    <x v="7"/>
    <x v="0"/>
    <n v="25992.19"/>
    <n v="500"/>
    <n v="25492.19"/>
    <n v="98.076345000000003"/>
  </r>
  <r>
    <s v="O0399"/>
    <x v="180"/>
    <x v="0"/>
    <d v="2024-10-06T00:00:00"/>
    <x v="0"/>
    <x v="0"/>
    <n v="706.66"/>
    <n v="500"/>
    <n v="206.66"/>
    <n v="29.244616000000001"/>
  </r>
  <r>
    <s v="O0400"/>
    <x v="2"/>
    <x v="1"/>
    <d v="2024-08-21T00:00:00"/>
    <x v="8"/>
    <x v="2"/>
    <n v="10722.55"/>
    <n v="2000"/>
    <n v="8722.5499999999993"/>
    <n v="81.347719999999995"/>
  </r>
  <r>
    <s v="O0401"/>
    <x v="96"/>
    <x v="3"/>
    <d v="2024-02-25T00:00:00"/>
    <x v="9"/>
    <x v="1"/>
    <n v="28544.79"/>
    <n v="12000"/>
    <n v="16544.79"/>
    <n v="57.960805000000001"/>
  </r>
  <r>
    <s v="O0402"/>
    <x v="69"/>
    <x v="0"/>
    <d v="2024-09-06T00:00:00"/>
    <x v="2"/>
    <x v="2"/>
    <n v="32494.86"/>
    <n v="2000"/>
    <n v="30494.86"/>
    <n v="93.845179999999999"/>
  </r>
  <r>
    <s v="O0403"/>
    <x v="42"/>
    <x v="3"/>
    <d v="2024-04-02T00:00:00"/>
    <x v="3"/>
    <x v="1"/>
    <n v="28034.45"/>
    <n v="12000"/>
    <n v="16034.45"/>
    <n v="57.195521999999997"/>
  </r>
  <r>
    <s v="O0404"/>
    <x v="71"/>
    <x v="3"/>
    <d v="2024-01-10T00:00:00"/>
    <x v="7"/>
    <x v="2"/>
    <n v="39063.29"/>
    <n v="2000"/>
    <n v="37063.29"/>
    <n v="94.880104000000003"/>
  </r>
  <r>
    <s v="O0405"/>
    <x v="86"/>
    <x v="3"/>
    <d v="2024-09-09T00:00:00"/>
    <x v="2"/>
    <x v="3"/>
    <n v="40486.21"/>
    <n v="30000"/>
    <n v="10486.21"/>
    <n v="25.900696"/>
  </r>
  <r>
    <s v="O0406"/>
    <x v="44"/>
    <x v="3"/>
    <d v="2024-06-11T00:00:00"/>
    <x v="6"/>
    <x v="1"/>
    <n v="9280.4699999999993"/>
    <n v="12000"/>
    <n v="-2719.53"/>
    <n v="-29.303795999999998"/>
  </r>
  <r>
    <s v="O0407"/>
    <x v="157"/>
    <x v="3"/>
    <d v="2024-10-04T00:00:00"/>
    <x v="0"/>
    <x v="0"/>
    <n v="35042.519999999997"/>
    <n v="500"/>
    <n v="34542.519999999997"/>
    <n v="98.573161999999996"/>
  </r>
  <r>
    <s v="O0408"/>
    <x v="181"/>
    <x v="2"/>
    <d v="2024-03-17T00:00:00"/>
    <x v="1"/>
    <x v="3"/>
    <n v="17068.54"/>
    <n v="30000"/>
    <n v="-12931.46"/>
    <n v="-75.761956999999995"/>
  </r>
  <r>
    <s v="O0409"/>
    <x v="19"/>
    <x v="3"/>
    <d v="2024-10-27T00:00:00"/>
    <x v="0"/>
    <x v="0"/>
    <n v="45267.360000000001"/>
    <n v="500"/>
    <n v="44767.360000000001"/>
    <n v="98.895450999999994"/>
  </r>
  <r>
    <s v="O0410"/>
    <x v="124"/>
    <x v="0"/>
    <d v="2024-06-18T00:00:00"/>
    <x v="6"/>
    <x v="2"/>
    <n v="6204.65"/>
    <n v="2000"/>
    <n v="4204.6499999999996"/>
    <n v="67.766110999999995"/>
  </r>
  <r>
    <s v="O0411"/>
    <x v="15"/>
    <x v="0"/>
    <d v="2024-09-12T00:00:00"/>
    <x v="2"/>
    <x v="2"/>
    <n v="36390.080000000002"/>
    <n v="2000"/>
    <n v="34390.080000000002"/>
    <n v="94.503996999999998"/>
  </r>
  <r>
    <s v="O0412"/>
    <x v="25"/>
    <x v="1"/>
    <d v="2024-01-03T00:00:00"/>
    <x v="7"/>
    <x v="3"/>
    <n v="2141.9699999999998"/>
    <n v="30000"/>
    <n v="-27858.03"/>
    <n v="-1300.5798400000001"/>
  </r>
  <r>
    <s v="O0413"/>
    <x v="20"/>
    <x v="3"/>
    <d v="2024-06-06T00:00:00"/>
    <x v="6"/>
    <x v="1"/>
    <n v="1119.96"/>
    <n v="12000"/>
    <n v="-10880.04"/>
    <n v="-971.46683800000005"/>
  </r>
  <r>
    <s v="O0414"/>
    <x v="50"/>
    <x v="2"/>
    <d v="2024-09-14T00:00:00"/>
    <x v="2"/>
    <x v="1"/>
    <n v="15942.09"/>
    <n v="12000"/>
    <n v="3942.09"/>
    <n v="24.727561000000001"/>
  </r>
  <r>
    <s v="O0415"/>
    <x v="97"/>
    <x v="3"/>
    <d v="2024-05-01T00:00:00"/>
    <x v="5"/>
    <x v="3"/>
    <n v="26928.1"/>
    <n v="30000"/>
    <n v="-3071.9"/>
    <n v="-11.407786"/>
  </r>
  <r>
    <s v="O0416"/>
    <x v="81"/>
    <x v="3"/>
    <d v="2024-03-27T00:00:00"/>
    <x v="1"/>
    <x v="3"/>
    <n v="29526"/>
    <n v="30000"/>
    <n v="-474"/>
    <n v="-1.6053649999999999"/>
  </r>
  <r>
    <s v="O0417"/>
    <x v="63"/>
    <x v="1"/>
    <d v="2024-04-13T00:00:00"/>
    <x v="3"/>
    <x v="2"/>
    <n v="41829"/>
    <n v="2000"/>
    <n v="39829"/>
    <n v="95.218627999999995"/>
  </r>
  <r>
    <s v="O0418"/>
    <x v="163"/>
    <x v="2"/>
    <d v="2024-01-10T00:00:00"/>
    <x v="7"/>
    <x v="2"/>
    <n v="7458.66"/>
    <n v="2000"/>
    <n v="5458.66"/>
    <n v="73.185531999999995"/>
  </r>
  <r>
    <s v="O0419"/>
    <x v="46"/>
    <x v="3"/>
    <d v="2024-10-01T00:00:00"/>
    <x v="0"/>
    <x v="2"/>
    <n v="21578.17"/>
    <n v="2000"/>
    <n v="19578.169999999998"/>
    <n v="90.731373000000005"/>
  </r>
  <r>
    <s v="O0420"/>
    <x v="67"/>
    <x v="0"/>
    <d v="2024-08-27T00:00:00"/>
    <x v="8"/>
    <x v="2"/>
    <n v="49842.53"/>
    <n v="2000"/>
    <n v="47842.53"/>
    <n v="95.987363000000002"/>
  </r>
  <r>
    <s v="O0421"/>
    <x v="144"/>
    <x v="3"/>
    <d v="2024-09-18T00:00:00"/>
    <x v="2"/>
    <x v="3"/>
    <n v="8745.99"/>
    <n v="30000"/>
    <n v="-21254.01"/>
    <n v="-243.014341"/>
  </r>
  <r>
    <s v="O0422"/>
    <x v="51"/>
    <x v="0"/>
    <d v="2024-07-14T00:00:00"/>
    <x v="4"/>
    <x v="2"/>
    <n v="23101.75"/>
    <n v="2000"/>
    <n v="21101.75"/>
    <n v="91.342646999999999"/>
  </r>
  <r>
    <s v="O0423"/>
    <x v="148"/>
    <x v="2"/>
    <d v="2024-07-20T00:00:00"/>
    <x v="4"/>
    <x v="1"/>
    <n v="34303.300000000003"/>
    <n v="12000"/>
    <n v="22303.3"/>
    <n v="65.017943000000002"/>
  </r>
  <r>
    <s v="O0424"/>
    <x v="162"/>
    <x v="2"/>
    <d v="2024-06-06T00:00:00"/>
    <x v="6"/>
    <x v="2"/>
    <n v="18147.830000000002"/>
    <n v="2000"/>
    <n v="16147.83"/>
    <n v="88.979399000000001"/>
  </r>
  <r>
    <s v="O0425"/>
    <x v="14"/>
    <x v="2"/>
    <d v="2024-08-17T00:00:00"/>
    <x v="8"/>
    <x v="2"/>
    <n v="16852.310000000001"/>
    <n v="2000"/>
    <n v="14852.31"/>
    <n v="88.132191000000006"/>
  </r>
  <r>
    <s v="O0426"/>
    <x v="1"/>
    <x v="1"/>
    <d v="2024-09-06T00:00:00"/>
    <x v="2"/>
    <x v="2"/>
    <n v="31736.41"/>
    <n v="2000"/>
    <n v="29736.41"/>
    <n v="93.698089999999993"/>
  </r>
  <r>
    <s v="O0427"/>
    <x v="94"/>
    <x v="1"/>
    <d v="2024-10-20T00:00:00"/>
    <x v="0"/>
    <x v="0"/>
    <n v="602"/>
    <n v="500"/>
    <n v="102"/>
    <n v="16.943522000000002"/>
  </r>
  <r>
    <s v="O0428"/>
    <x v="123"/>
    <x v="1"/>
    <d v="2024-12-20T00:00:00"/>
    <x v="11"/>
    <x v="1"/>
    <n v="10498.73"/>
    <n v="12000"/>
    <n v="-1501.27"/>
    <n v="-14.299538999999999"/>
  </r>
  <r>
    <s v="O0429"/>
    <x v="45"/>
    <x v="3"/>
    <d v="2024-01-20T00:00:00"/>
    <x v="7"/>
    <x v="3"/>
    <n v="23839.83"/>
    <n v="30000"/>
    <n v="-6160.17"/>
    <n v="-25.839824"/>
  </r>
  <r>
    <s v="O0430"/>
    <x v="171"/>
    <x v="0"/>
    <d v="2024-01-11T00:00:00"/>
    <x v="7"/>
    <x v="3"/>
    <n v="47057.71"/>
    <n v="30000"/>
    <n v="17057.71"/>
    <n v="36.248491000000001"/>
  </r>
  <r>
    <s v="O0431"/>
    <x v="61"/>
    <x v="0"/>
    <d v="2024-04-02T00:00:00"/>
    <x v="3"/>
    <x v="0"/>
    <n v="1542.3"/>
    <n v="500"/>
    <n v="1042.3"/>
    <n v="67.580886000000007"/>
  </r>
  <r>
    <s v="O0432"/>
    <x v="173"/>
    <x v="2"/>
    <d v="2024-10-26T00:00:00"/>
    <x v="0"/>
    <x v="0"/>
    <n v="24370.01"/>
    <n v="500"/>
    <n v="23870.01"/>
    <n v="97.948297999999994"/>
  </r>
  <r>
    <s v="O0433"/>
    <x v="104"/>
    <x v="1"/>
    <d v="2024-05-20T00:00:00"/>
    <x v="5"/>
    <x v="0"/>
    <n v="5483.65"/>
    <n v="500"/>
    <n v="4983.6499999999996"/>
    <n v="90.881985999999998"/>
  </r>
  <r>
    <s v="O0434"/>
    <x v="32"/>
    <x v="2"/>
    <d v="2024-04-15T00:00:00"/>
    <x v="3"/>
    <x v="3"/>
    <n v="972.85"/>
    <n v="30000"/>
    <n v="-29027.15"/>
    <n v="-2983.723082"/>
  </r>
  <r>
    <s v="O0435"/>
    <x v="20"/>
    <x v="3"/>
    <d v="2024-04-13T00:00:00"/>
    <x v="3"/>
    <x v="2"/>
    <n v="36921.629999999997"/>
    <n v="2000"/>
    <n v="34921.629999999997"/>
    <n v="94.583121000000006"/>
  </r>
  <r>
    <s v="O0436"/>
    <x v="181"/>
    <x v="2"/>
    <d v="2024-12-03T00:00:00"/>
    <x v="11"/>
    <x v="0"/>
    <n v="7503.01"/>
    <n v="500"/>
    <n v="7003.01"/>
    <n v="93.336008000000007"/>
  </r>
  <r>
    <s v="O0437"/>
    <x v="101"/>
    <x v="3"/>
    <d v="2024-08-13T00:00:00"/>
    <x v="8"/>
    <x v="3"/>
    <n v="29483.75"/>
    <n v="30000"/>
    <n v="-516.25"/>
    <n v="-1.7509650000000001"/>
  </r>
  <r>
    <s v="O0438"/>
    <x v="128"/>
    <x v="2"/>
    <d v="2024-05-09T00:00:00"/>
    <x v="5"/>
    <x v="1"/>
    <n v="49803.34"/>
    <n v="12000"/>
    <n v="37803.339999999997"/>
    <n v="75.905230000000003"/>
  </r>
  <r>
    <s v="O0439"/>
    <x v="145"/>
    <x v="2"/>
    <d v="2024-08-16T00:00:00"/>
    <x v="8"/>
    <x v="1"/>
    <n v="29883.63"/>
    <n v="12000"/>
    <n v="17883.63"/>
    <n v="59.844236000000002"/>
  </r>
  <r>
    <s v="O0440"/>
    <x v="103"/>
    <x v="1"/>
    <d v="2024-04-12T00:00:00"/>
    <x v="3"/>
    <x v="0"/>
    <n v="10644.8"/>
    <n v="500"/>
    <n v="10144.799999999999"/>
    <n v="95.302870999999996"/>
  </r>
  <r>
    <s v="O0441"/>
    <x v="76"/>
    <x v="1"/>
    <d v="2024-11-17T00:00:00"/>
    <x v="10"/>
    <x v="1"/>
    <n v="23861.85"/>
    <n v="12000"/>
    <n v="11861.85"/>
    <n v="49.710521"/>
  </r>
  <r>
    <s v="O0442"/>
    <x v="139"/>
    <x v="0"/>
    <d v="2024-07-01T00:00:00"/>
    <x v="4"/>
    <x v="2"/>
    <n v="44037.68"/>
    <n v="2000"/>
    <n v="42037.68"/>
    <n v="95.458434999999994"/>
  </r>
  <r>
    <s v="O0443"/>
    <x v="182"/>
    <x v="3"/>
    <d v="2024-04-02T00:00:00"/>
    <x v="3"/>
    <x v="3"/>
    <n v="41644.230000000003"/>
    <n v="30000"/>
    <n v="11644.23"/>
    <n v="27.961209"/>
  </r>
  <r>
    <s v="O0444"/>
    <x v="183"/>
    <x v="3"/>
    <d v="2024-06-22T00:00:00"/>
    <x v="6"/>
    <x v="1"/>
    <n v="8584.6"/>
    <n v="12000"/>
    <n v="-3415.4"/>
    <n v="-39.785196999999997"/>
  </r>
  <r>
    <s v="O0445"/>
    <x v="3"/>
    <x v="0"/>
    <d v="2024-05-18T00:00:00"/>
    <x v="5"/>
    <x v="2"/>
    <n v="27236.99"/>
    <n v="2000"/>
    <n v="25236.99"/>
    <n v="92.657044999999997"/>
  </r>
  <r>
    <s v="O0446"/>
    <x v="80"/>
    <x v="0"/>
    <d v="2024-06-23T00:00:00"/>
    <x v="6"/>
    <x v="3"/>
    <n v="23003.64"/>
    <n v="30000"/>
    <n v="-6996.36"/>
    <n v="-30.414142999999999"/>
  </r>
  <r>
    <s v="O0447"/>
    <x v="179"/>
    <x v="3"/>
    <d v="2024-02-16T00:00:00"/>
    <x v="9"/>
    <x v="0"/>
    <n v="46276.82"/>
    <n v="500"/>
    <n v="45776.82"/>
    <n v="98.919544999999999"/>
  </r>
  <r>
    <s v="O0448"/>
    <x v="74"/>
    <x v="1"/>
    <d v="2024-04-06T00:00:00"/>
    <x v="3"/>
    <x v="2"/>
    <n v="2920.59"/>
    <n v="2000"/>
    <n v="920.59"/>
    <n v="31.520686000000001"/>
  </r>
  <r>
    <s v="O0449"/>
    <x v="39"/>
    <x v="3"/>
    <d v="2024-01-15T00:00:00"/>
    <x v="7"/>
    <x v="2"/>
    <n v="47099.040000000001"/>
    <n v="2000"/>
    <n v="45099.040000000001"/>
    <n v="95.753629000000004"/>
  </r>
  <r>
    <s v="O0450"/>
    <x v="183"/>
    <x v="3"/>
    <d v="2024-04-13T00:00:00"/>
    <x v="3"/>
    <x v="1"/>
    <n v="45882.43"/>
    <n v="12000"/>
    <n v="33882.43"/>
    <n v="73.846198000000001"/>
  </r>
  <r>
    <s v="O0451"/>
    <x v="155"/>
    <x v="0"/>
    <d v="2024-01-13T00:00:00"/>
    <x v="7"/>
    <x v="3"/>
    <n v="16020.56"/>
    <n v="30000"/>
    <n v="-13979.44"/>
    <n v="-87.259371999999999"/>
  </r>
  <r>
    <s v="O0452"/>
    <x v="13"/>
    <x v="2"/>
    <d v="2024-01-01T00:00:00"/>
    <x v="7"/>
    <x v="1"/>
    <n v="15398.91"/>
    <n v="12000"/>
    <n v="3398.91"/>
    <n v="22.072406000000001"/>
  </r>
  <r>
    <s v="O0453"/>
    <x v="154"/>
    <x v="1"/>
    <d v="2024-02-17T00:00:00"/>
    <x v="9"/>
    <x v="2"/>
    <n v="4901.1099999999997"/>
    <n v="2000"/>
    <n v="2901.11"/>
    <n v="59.192917999999999"/>
  </r>
  <r>
    <s v="O0454"/>
    <x v="156"/>
    <x v="2"/>
    <d v="2024-06-14T00:00:00"/>
    <x v="6"/>
    <x v="0"/>
    <n v="21697.8"/>
    <n v="500"/>
    <n v="21197.8"/>
    <n v="97.695618999999994"/>
  </r>
  <r>
    <s v="O0455"/>
    <x v="15"/>
    <x v="0"/>
    <d v="2024-05-06T00:00:00"/>
    <x v="5"/>
    <x v="0"/>
    <n v="47786.49"/>
    <n v="500"/>
    <n v="47286.49"/>
    <n v="98.953678999999994"/>
  </r>
  <r>
    <s v="O0456"/>
    <x v="58"/>
    <x v="1"/>
    <d v="2024-03-16T00:00:00"/>
    <x v="1"/>
    <x v="2"/>
    <n v="47015.31"/>
    <n v="2000"/>
    <n v="45015.31"/>
    <n v="95.746066999999996"/>
  </r>
  <r>
    <s v="O0457"/>
    <x v="73"/>
    <x v="3"/>
    <d v="2024-08-27T00:00:00"/>
    <x v="8"/>
    <x v="0"/>
    <n v="19963.36"/>
    <n v="500"/>
    <n v="19463.36"/>
    <n v="97.495412000000002"/>
  </r>
  <r>
    <s v="O0458"/>
    <x v="184"/>
    <x v="1"/>
    <d v="2024-06-23T00:00:00"/>
    <x v="6"/>
    <x v="0"/>
    <n v="5736.44"/>
    <n v="500"/>
    <n v="5236.4399999999996"/>
    <n v="91.283793000000003"/>
  </r>
  <r>
    <s v="O0459"/>
    <x v="26"/>
    <x v="3"/>
    <d v="2024-01-02T00:00:00"/>
    <x v="7"/>
    <x v="0"/>
    <n v="44652.7"/>
    <n v="500"/>
    <n v="44152.7"/>
    <n v="98.880246999999997"/>
  </r>
  <r>
    <s v="O0460"/>
    <x v="64"/>
    <x v="2"/>
    <d v="2024-04-13T00:00:00"/>
    <x v="3"/>
    <x v="3"/>
    <n v="3286.95"/>
    <n v="30000"/>
    <n v="-26713.05"/>
    <n v="-812.70022400000005"/>
  </r>
  <r>
    <s v="O0461"/>
    <x v="165"/>
    <x v="1"/>
    <d v="2024-05-19T00:00:00"/>
    <x v="5"/>
    <x v="1"/>
    <n v="32153.040000000001"/>
    <n v="12000"/>
    <n v="20153.04"/>
    <n v="62.678489999999996"/>
  </r>
  <r>
    <s v="O0462"/>
    <x v="49"/>
    <x v="3"/>
    <d v="2024-08-20T00:00:00"/>
    <x v="8"/>
    <x v="1"/>
    <n v="11508.37"/>
    <n v="12000"/>
    <n v="-491.63"/>
    <n v="-4.2719339999999999"/>
  </r>
  <r>
    <s v="O0463"/>
    <x v="111"/>
    <x v="0"/>
    <d v="2024-10-21T00:00:00"/>
    <x v="0"/>
    <x v="2"/>
    <n v="46156.28"/>
    <n v="2000"/>
    <n v="44156.28"/>
    <n v="95.666894999999997"/>
  </r>
  <r>
    <s v="O0464"/>
    <x v="150"/>
    <x v="3"/>
    <d v="2024-10-04T00:00:00"/>
    <x v="0"/>
    <x v="2"/>
    <n v="18481.32"/>
    <n v="2000"/>
    <n v="16481.32"/>
    <n v="89.178262000000004"/>
  </r>
  <r>
    <s v="O0465"/>
    <x v="119"/>
    <x v="3"/>
    <d v="2024-04-15T00:00:00"/>
    <x v="3"/>
    <x v="1"/>
    <n v="28477.57"/>
    <n v="12000"/>
    <n v="16477.57"/>
    <n v="57.861573"/>
  </r>
  <r>
    <s v="O0466"/>
    <x v="59"/>
    <x v="2"/>
    <d v="2024-02-28T00:00:00"/>
    <x v="9"/>
    <x v="2"/>
    <n v="47959.24"/>
    <n v="2000"/>
    <n v="45959.24"/>
    <n v="95.829791999999998"/>
  </r>
  <r>
    <s v="O0467"/>
    <x v="60"/>
    <x v="3"/>
    <d v="2024-11-27T00:00:00"/>
    <x v="10"/>
    <x v="0"/>
    <n v="4336.32"/>
    <n v="500"/>
    <n v="3836.32"/>
    <n v="88.469486000000003"/>
  </r>
  <r>
    <s v="O0468"/>
    <x v="185"/>
    <x v="2"/>
    <d v="2024-01-28T00:00:00"/>
    <x v="7"/>
    <x v="2"/>
    <n v="26483.4"/>
    <n v="2000"/>
    <n v="24483.4"/>
    <n v="92.448099999999997"/>
  </r>
  <r>
    <s v="O0469"/>
    <x v="47"/>
    <x v="1"/>
    <d v="2024-02-16T00:00:00"/>
    <x v="9"/>
    <x v="3"/>
    <n v="43790.21"/>
    <n v="30000"/>
    <n v="13790.21"/>
    <n v="31.491537000000001"/>
  </r>
  <r>
    <s v="O0470"/>
    <x v="135"/>
    <x v="1"/>
    <d v="2024-12-19T00:00:00"/>
    <x v="11"/>
    <x v="0"/>
    <n v="39595.980000000003"/>
    <n v="500"/>
    <n v="39095.980000000003"/>
    <n v="98.737245999999999"/>
  </r>
  <r>
    <s v="O0471"/>
    <x v="177"/>
    <x v="2"/>
    <d v="2024-05-30T00:00:00"/>
    <x v="5"/>
    <x v="2"/>
    <n v="47555.27"/>
    <n v="2000"/>
    <n v="45555.27"/>
    <n v="95.794366999999994"/>
  </r>
  <r>
    <s v="O0472"/>
    <x v="17"/>
    <x v="2"/>
    <d v="2024-06-28T00:00:00"/>
    <x v="6"/>
    <x v="0"/>
    <n v="6706.16"/>
    <n v="500"/>
    <n v="6206.16"/>
    <n v="92.544167999999999"/>
  </r>
  <r>
    <s v="O0473"/>
    <x v="139"/>
    <x v="0"/>
    <d v="2024-02-11T00:00:00"/>
    <x v="9"/>
    <x v="2"/>
    <n v="20159.439999999999"/>
    <n v="2000"/>
    <n v="18159.439999999999"/>
    <n v="90.079088999999996"/>
  </r>
  <r>
    <s v="O0474"/>
    <x v="186"/>
    <x v="3"/>
    <d v="2024-01-26T00:00:00"/>
    <x v="7"/>
    <x v="3"/>
    <n v="40075.65"/>
    <n v="30000"/>
    <n v="10075.65"/>
    <n v="25.141576000000001"/>
  </r>
  <r>
    <s v="O0475"/>
    <x v="19"/>
    <x v="3"/>
    <d v="2024-03-09T00:00:00"/>
    <x v="1"/>
    <x v="2"/>
    <n v="47339.27"/>
    <n v="2000"/>
    <n v="45339.27"/>
    <n v="95.775177999999997"/>
  </r>
  <r>
    <s v="O0476"/>
    <x v="96"/>
    <x v="3"/>
    <d v="2024-10-28T00:00:00"/>
    <x v="0"/>
    <x v="0"/>
    <n v="21547.54"/>
    <n v="500"/>
    <n v="21047.54"/>
    <n v="97.679548999999994"/>
  </r>
  <r>
    <s v="O0477"/>
    <x v="20"/>
    <x v="3"/>
    <d v="2024-07-14T00:00:00"/>
    <x v="4"/>
    <x v="0"/>
    <n v="13678.58"/>
    <n v="500"/>
    <n v="13178.58"/>
    <n v="96.344650000000001"/>
  </r>
  <r>
    <s v="O0478"/>
    <x v="47"/>
    <x v="1"/>
    <d v="2024-10-16T00:00:00"/>
    <x v="0"/>
    <x v="1"/>
    <n v="24355.18"/>
    <n v="12000"/>
    <n v="12355.18"/>
    <n v="50.729166999999997"/>
  </r>
  <r>
    <s v="O0479"/>
    <x v="65"/>
    <x v="3"/>
    <d v="2024-11-05T00:00:00"/>
    <x v="10"/>
    <x v="1"/>
    <n v="34493.629999999997"/>
    <n v="12000"/>
    <n v="22493.63"/>
    <n v="65.210967999999994"/>
  </r>
  <r>
    <s v="O0480"/>
    <x v="79"/>
    <x v="2"/>
    <d v="2024-03-07T00:00:00"/>
    <x v="1"/>
    <x v="3"/>
    <n v="44293.58"/>
    <n v="30000"/>
    <n v="14293.58"/>
    <n v="32.270094"/>
  </r>
  <r>
    <s v="O0481"/>
    <x v="40"/>
    <x v="1"/>
    <d v="2024-09-03T00:00:00"/>
    <x v="2"/>
    <x v="1"/>
    <n v="35578.120000000003"/>
    <n v="12000"/>
    <n v="23578.12"/>
    <n v="66.271405000000001"/>
  </r>
  <r>
    <s v="O0482"/>
    <x v="147"/>
    <x v="3"/>
    <d v="2024-10-18T00:00:00"/>
    <x v="0"/>
    <x v="1"/>
    <n v="48885.63"/>
    <n v="12000"/>
    <n v="36885.629999999997"/>
    <n v="75.452909000000005"/>
  </r>
  <r>
    <s v="O0483"/>
    <x v="2"/>
    <x v="1"/>
    <d v="2024-11-23T00:00:00"/>
    <x v="10"/>
    <x v="0"/>
    <n v="45327.44"/>
    <n v="500"/>
    <n v="44827.44"/>
    <n v="98.896915000000007"/>
  </r>
  <r>
    <s v="O0484"/>
    <x v="117"/>
    <x v="3"/>
    <d v="2024-07-26T00:00:00"/>
    <x v="4"/>
    <x v="0"/>
    <n v="13261.13"/>
    <n v="500"/>
    <n v="12761.13"/>
    <n v="96.229581999999994"/>
  </r>
  <r>
    <s v="O0485"/>
    <x v="153"/>
    <x v="3"/>
    <d v="2024-10-01T00:00:00"/>
    <x v="0"/>
    <x v="2"/>
    <n v="30104.89"/>
    <n v="2000"/>
    <n v="28104.89"/>
    <n v="93.356560999999999"/>
  </r>
  <r>
    <s v="O0486"/>
    <x v="77"/>
    <x v="0"/>
    <d v="2024-08-29T00:00:00"/>
    <x v="8"/>
    <x v="0"/>
    <n v="16759.72"/>
    <n v="500"/>
    <n v="16259.72"/>
    <n v="97.016656999999995"/>
  </r>
  <r>
    <s v="O0487"/>
    <x v="95"/>
    <x v="2"/>
    <d v="2024-12-14T00:00:00"/>
    <x v="11"/>
    <x v="3"/>
    <n v="39605.68"/>
    <n v="30000"/>
    <n v="9605.68"/>
    <n v="24.253288999999999"/>
  </r>
  <r>
    <s v="O0488"/>
    <x v="185"/>
    <x v="2"/>
    <d v="2024-10-21T00:00:00"/>
    <x v="0"/>
    <x v="3"/>
    <n v="30267.32"/>
    <n v="30000"/>
    <n v="267.32"/>
    <n v="0.88319700000000001"/>
  </r>
  <r>
    <s v="O0489"/>
    <x v="106"/>
    <x v="2"/>
    <d v="2024-03-06T00:00:00"/>
    <x v="1"/>
    <x v="2"/>
    <n v="4622.47"/>
    <n v="2000"/>
    <n v="2622.47"/>
    <n v="56.733089"/>
  </r>
  <r>
    <s v="O0490"/>
    <x v="98"/>
    <x v="0"/>
    <d v="2024-01-22T00:00:00"/>
    <x v="7"/>
    <x v="1"/>
    <n v="47686.22"/>
    <n v="12000"/>
    <n v="35686.22"/>
    <n v="74.835498000000001"/>
  </r>
  <r>
    <s v="O0491"/>
    <x v="46"/>
    <x v="3"/>
    <d v="2024-09-06T00:00:00"/>
    <x v="2"/>
    <x v="3"/>
    <n v="48420.38"/>
    <n v="30000"/>
    <n v="18420.38"/>
    <n v="38.042617999999997"/>
  </r>
  <r>
    <s v="O0492"/>
    <x v="106"/>
    <x v="2"/>
    <d v="2024-09-26T00:00:00"/>
    <x v="2"/>
    <x v="2"/>
    <n v="16816.98"/>
    <n v="2000"/>
    <n v="14816.98"/>
    <n v="88.107258000000002"/>
  </r>
  <r>
    <s v="O0493"/>
    <x v="1"/>
    <x v="1"/>
    <d v="2024-06-30T00:00:00"/>
    <x v="6"/>
    <x v="0"/>
    <n v="23401.08"/>
    <n v="500"/>
    <n v="22901.08"/>
    <n v="97.863346000000007"/>
  </r>
  <r>
    <s v="O0494"/>
    <x v="67"/>
    <x v="0"/>
    <d v="2024-05-25T00:00:00"/>
    <x v="5"/>
    <x v="1"/>
    <n v="14567.59"/>
    <n v="12000"/>
    <n v="2567.59"/>
    <n v="17.625359"/>
  </r>
  <r>
    <s v="O0495"/>
    <x v="146"/>
    <x v="0"/>
    <d v="2024-03-25T00:00:00"/>
    <x v="1"/>
    <x v="0"/>
    <n v="35237.269999999997"/>
    <n v="500"/>
    <n v="34737.269999999997"/>
    <n v="98.581047999999996"/>
  </r>
  <r>
    <s v="O0496"/>
    <x v="187"/>
    <x v="2"/>
    <d v="2024-02-07T00:00:00"/>
    <x v="9"/>
    <x v="3"/>
    <n v="19543.32"/>
    <n v="30000"/>
    <n v="-10456.68"/>
    <n v="-53.505136"/>
  </r>
  <r>
    <s v="O0497"/>
    <x v="35"/>
    <x v="0"/>
    <d v="2024-01-27T00:00:00"/>
    <x v="7"/>
    <x v="1"/>
    <n v="48245.25"/>
    <n v="12000"/>
    <n v="36245.25"/>
    <n v="75.127084999999994"/>
  </r>
  <r>
    <s v="O0498"/>
    <x v="184"/>
    <x v="1"/>
    <d v="2024-01-23T00:00:00"/>
    <x v="7"/>
    <x v="0"/>
    <n v="47216.97"/>
    <n v="500"/>
    <n v="46716.97"/>
    <n v="98.941058999999996"/>
  </r>
  <r>
    <s v="O0499"/>
    <x v="2"/>
    <x v="1"/>
    <d v="2024-05-12T00:00:00"/>
    <x v="5"/>
    <x v="3"/>
    <n v="5937.18"/>
    <n v="30000"/>
    <n v="-24062.82"/>
    <n v="-405.29039"/>
  </r>
  <r>
    <s v="O0500"/>
    <x v="6"/>
    <x v="0"/>
    <d v="2024-07-06T00:00:00"/>
    <x v="4"/>
    <x v="3"/>
    <n v="18120.240000000002"/>
    <n v="30000"/>
    <n v="-11879.76"/>
    <n v="-65.560721000000001"/>
  </r>
  <r>
    <s v="O0501"/>
    <x v="140"/>
    <x v="3"/>
    <d v="2024-08-26T00:00:00"/>
    <x v="8"/>
    <x v="3"/>
    <n v="19115.990000000002"/>
    <n v="30000"/>
    <n v="-10884.01"/>
    <n v="-56.936680000000003"/>
  </r>
  <r>
    <s v="O0502"/>
    <x v="188"/>
    <x v="2"/>
    <d v="2024-01-10T00:00:00"/>
    <x v="7"/>
    <x v="2"/>
    <n v="27372.12"/>
    <n v="2000"/>
    <n v="25372.12"/>
    <n v="92.693295000000006"/>
  </r>
  <r>
    <s v="O0503"/>
    <x v="110"/>
    <x v="1"/>
    <d v="2024-06-27T00:00:00"/>
    <x v="6"/>
    <x v="2"/>
    <n v="13187.67"/>
    <n v="2000"/>
    <n v="11187.67"/>
    <n v="84.834318999999994"/>
  </r>
  <r>
    <s v="O0504"/>
    <x v="85"/>
    <x v="3"/>
    <d v="2024-03-06T00:00:00"/>
    <x v="1"/>
    <x v="2"/>
    <n v="34889.31"/>
    <n v="2000"/>
    <n v="32889.31"/>
    <n v="94.267584999999997"/>
  </r>
  <r>
    <s v="O0505"/>
    <x v="128"/>
    <x v="2"/>
    <d v="2024-10-02T00:00:00"/>
    <x v="0"/>
    <x v="1"/>
    <n v="41635.24"/>
    <n v="12000"/>
    <n v="29635.24"/>
    <n v="71.178261000000006"/>
  </r>
  <r>
    <s v="O0506"/>
    <x v="14"/>
    <x v="2"/>
    <d v="2024-08-01T00:00:00"/>
    <x v="8"/>
    <x v="1"/>
    <n v="18376.919999999998"/>
    <n v="12000"/>
    <n v="6376.92"/>
    <n v="34.700701000000002"/>
  </r>
  <r>
    <s v="O0507"/>
    <x v="11"/>
    <x v="1"/>
    <d v="2024-02-11T00:00:00"/>
    <x v="9"/>
    <x v="0"/>
    <n v="23094.93"/>
    <n v="500"/>
    <n v="22594.93"/>
    <n v="97.835023000000007"/>
  </r>
  <r>
    <s v="O0508"/>
    <x v="20"/>
    <x v="3"/>
    <d v="2024-09-09T00:00:00"/>
    <x v="2"/>
    <x v="2"/>
    <n v="33935.54"/>
    <n v="2000"/>
    <n v="31935.54"/>
    <n v="94.106474000000006"/>
  </r>
  <r>
    <s v="O0509"/>
    <x v="77"/>
    <x v="0"/>
    <d v="2024-02-16T00:00:00"/>
    <x v="9"/>
    <x v="3"/>
    <n v="27350.15"/>
    <n v="30000"/>
    <n v="-2649.85"/>
    <n v="-9.6886119999999991"/>
  </r>
  <r>
    <s v="O0510"/>
    <x v="106"/>
    <x v="2"/>
    <d v="2024-11-18T00:00:00"/>
    <x v="10"/>
    <x v="3"/>
    <n v="29640.77"/>
    <n v="30000"/>
    <n v="-359.23"/>
    <n v="-1.211946"/>
  </r>
  <r>
    <s v="O0511"/>
    <x v="78"/>
    <x v="2"/>
    <d v="2024-02-03T00:00:00"/>
    <x v="9"/>
    <x v="3"/>
    <n v="8557.9599999999991"/>
    <n v="30000"/>
    <n v="-21442.04"/>
    <n v="-250.55083200000001"/>
  </r>
  <r>
    <s v="O0512"/>
    <x v="147"/>
    <x v="3"/>
    <d v="2024-07-30T00:00:00"/>
    <x v="4"/>
    <x v="3"/>
    <n v="4785.12"/>
    <n v="30000"/>
    <n v="-25214.880000000001"/>
    <n v="-526.94352500000002"/>
  </r>
  <r>
    <s v="O0513"/>
    <x v="32"/>
    <x v="2"/>
    <d v="2024-04-18T00:00:00"/>
    <x v="3"/>
    <x v="3"/>
    <n v="12967.52"/>
    <n v="30000"/>
    <n v="-17032.48"/>
    <n v="-131.34724299999999"/>
  </r>
  <r>
    <s v="O0514"/>
    <x v="182"/>
    <x v="3"/>
    <d v="2024-07-30T00:00:00"/>
    <x v="4"/>
    <x v="2"/>
    <n v="48805.66"/>
    <n v="2000"/>
    <n v="46805.66"/>
    <n v="95.902114999999995"/>
  </r>
  <r>
    <s v="O0515"/>
    <x v="177"/>
    <x v="2"/>
    <d v="2024-11-20T00:00:00"/>
    <x v="10"/>
    <x v="3"/>
    <n v="21746.880000000001"/>
    <n v="30000"/>
    <n v="-8253.1200000000008"/>
    <n v="-37.950823"/>
  </r>
  <r>
    <s v="O0516"/>
    <x v="140"/>
    <x v="3"/>
    <d v="2024-02-20T00:00:00"/>
    <x v="9"/>
    <x v="1"/>
    <n v="1367.18"/>
    <n v="12000"/>
    <n v="-10632.82"/>
    <n v="-777.71910100000002"/>
  </r>
  <r>
    <s v="O0517"/>
    <x v="28"/>
    <x v="1"/>
    <d v="2024-07-10T00:00:00"/>
    <x v="4"/>
    <x v="1"/>
    <n v="16599.36"/>
    <n v="12000"/>
    <n v="4599.3599999999997"/>
    <n v="27.708055999999999"/>
  </r>
  <r>
    <s v="O0518"/>
    <x v="55"/>
    <x v="2"/>
    <d v="2024-07-29T00:00:00"/>
    <x v="4"/>
    <x v="2"/>
    <n v="36336.07"/>
    <n v="2000"/>
    <n v="34336.07"/>
    <n v="94.495827000000006"/>
  </r>
  <r>
    <s v="O0519"/>
    <x v="85"/>
    <x v="3"/>
    <d v="2024-07-21T00:00:00"/>
    <x v="4"/>
    <x v="2"/>
    <n v="46555.12"/>
    <n v="2000"/>
    <n v="44555.12"/>
    <n v="95.704016999999993"/>
  </r>
  <r>
    <s v="O0520"/>
    <x v="107"/>
    <x v="0"/>
    <d v="2024-05-13T00:00:00"/>
    <x v="5"/>
    <x v="1"/>
    <n v="23638.27"/>
    <n v="12000"/>
    <n v="11638.27"/>
    <n v="49.234864000000002"/>
  </r>
  <r>
    <s v="O0521"/>
    <x v="156"/>
    <x v="2"/>
    <d v="2024-05-17T00:00:00"/>
    <x v="5"/>
    <x v="1"/>
    <n v="38061.56"/>
    <n v="12000"/>
    <n v="26061.56"/>
    <n v="68.472127999999998"/>
  </r>
  <r>
    <s v="O0522"/>
    <x v="143"/>
    <x v="2"/>
    <d v="2024-07-16T00:00:00"/>
    <x v="4"/>
    <x v="3"/>
    <n v="31207.47"/>
    <n v="30000"/>
    <n v="1207.47"/>
    <n v="3.86917"/>
  </r>
  <r>
    <s v="O0523"/>
    <x v="189"/>
    <x v="0"/>
    <d v="2024-03-31T00:00:00"/>
    <x v="1"/>
    <x v="0"/>
    <n v="16562.669999999998"/>
    <n v="500"/>
    <n v="16062.67"/>
    <n v="96.981162999999995"/>
  </r>
  <r>
    <s v="O0524"/>
    <x v="143"/>
    <x v="2"/>
    <d v="2024-11-25T00:00:00"/>
    <x v="10"/>
    <x v="0"/>
    <n v="31031.85"/>
    <n v="500"/>
    <n v="30531.85"/>
    <n v="98.388751999999997"/>
  </r>
  <r>
    <s v="O0525"/>
    <x v="169"/>
    <x v="3"/>
    <d v="2024-01-16T00:00:00"/>
    <x v="7"/>
    <x v="0"/>
    <n v="31754.71"/>
    <n v="500"/>
    <n v="31254.71"/>
    <n v="98.425430000000006"/>
  </r>
  <r>
    <s v="O0526"/>
    <x v="184"/>
    <x v="1"/>
    <d v="2024-11-13T00:00:00"/>
    <x v="10"/>
    <x v="0"/>
    <n v="31954.26"/>
    <n v="500"/>
    <n v="31454.26"/>
    <n v="98.435263000000006"/>
  </r>
  <r>
    <s v="O0527"/>
    <x v="41"/>
    <x v="1"/>
    <d v="2024-11-11T00:00:00"/>
    <x v="10"/>
    <x v="0"/>
    <n v="639.54"/>
    <n v="500"/>
    <n v="139.54"/>
    <n v="21.818807"/>
  </r>
  <r>
    <s v="O0528"/>
    <x v="142"/>
    <x v="3"/>
    <d v="2024-07-21T00:00:00"/>
    <x v="4"/>
    <x v="0"/>
    <n v="12933.56"/>
    <n v="500"/>
    <n v="12433.56"/>
    <n v="96.134088000000006"/>
  </r>
  <r>
    <s v="O0529"/>
    <x v="87"/>
    <x v="2"/>
    <d v="2024-10-10T00:00:00"/>
    <x v="0"/>
    <x v="2"/>
    <n v="6102.05"/>
    <n v="2000"/>
    <n v="4102.05"/>
    <n v="67.224130000000002"/>
  </r>
  <r>
    <s v="O0530"/>
    <x v="72"/>
    <x v="0"/>
    <d v="2024-03-03T00:00:00"/>
    <x v="1"/>
    <x v="1"/>
    <n v="42162.92"/>
    <n v="12000"/>
    <n v="30162.92"/>
    <n v="71.538972999999999"/>
  </r>
  <r>
    <s v="O0531"/>
    <x v="181"/>
    <x v="2"/>
    <d v="2024-02-20T00:00:00"/>
    <x v="9"/>
    <x v="0"/>
    <n v="42006.92"/>
    <n v="500"/>
    <n v="41506.92"/>
    <n v="98.809719999999999"/>
  </r>
  <r>
    <s v="O0532"/>
    <x v="97"/>
    <x v="3"/>
    <d v="2024-10-22T00:00:00"/>
    <x v="0"/>
    <x v="1"/>
    <n v="49114.3"/>
    <n v="12000"/>
    <n v="37114.300000000003"/>
    <n v="75.567196999999993"/>
  </r>
  <r>
    <s v="O0533"/>
    <x v="17"/>
    <x v="2"/>
    <d v="2024-08-21T00:00:00"/>
    <x v="8"/>
    <x v="2"/>
    <n v="20420.79"/>
    <n v="2000"/>
    <n v="18420.79"/>
    <n v="90.206059999999994"/>
  </r>
  <r>
    <s v="O0534"/>
    <x v="73"/>
    <x v="3"/>
    <d v="2024-01-08T00:00:00"/>
    <x v="7"/>
    <x v="2"/>
    <n v="20392.3"/>
    <n v="2000"/>
    <n v="18392.3"/>
    <n v="90.192376999999993"/>
  </r>
  <r>
    <s v="O0535"/>
    <x v="159"/>
    <x v="2"/>
    <d v="2024-02-12T00:00:00"/>
    <x v="9"/>
    <x v="1"/>
    <n v="888.35"/>
    <n v="12000"/>
    <n v="-11111.65"/>
    <n v="-1250.8189339999999"/>
  </r>
  <r>
    <s v="O0536"/>
    <x v="150"/>
    <x v="3"/>
    <d v="2024-08-06T00:00:00"/>
    <x v="8"/>
    <x v="2"/>
    <n v="39496.769999999997"/>
    <n v="2000"/>
    <n v="37496.769999999997"/>
    <n v="94.936295000000001"/>
  </r>
  <r>
    <s v="O0537"/>
    <x v="32"/>
    <x v="2"/>
    <d v="2024-11-08T00:00:00"/>
    <x v="10"/>
    <x v="3"/>
    <n v="26360.5"/>
    <n v="30000"/>
    <n v="-3639.5"/>
    <n v="-13.806642999999999"/>
  </r>
  <r>
    <s v="O0538"/>
    <x v="170"/>
    <x v="1"/>
    <d v="2024-12-14T00:00:00"/>
    <x v="11"/>
    <x v="1"/>
    <n v="18532.759999999998"/>
    <n v="12000"/>
    <n v="6532.76"/>
    <n v="35.249794999999999"/>
  </r>
  <r>
    <s v="O0539"/>
    <x v="74"/>
    <x v="1"/>
    <d v="2024-11-12T00:00:00"/>
    <x v="10"/>
    <x v="2"/>
    <n v="14716.48"/>
    <n v="2000"/>
    <n v="12716.48"/>
    <n v="86.409794000000005"/>
  </r>
  <r>
    <s v="O0540"/>
    <x v="60"/>
    <x v="3"/>
    <d v="2024-11-21T00:00:00"/>
    <x v="10"/>
    <x v="2"/>
    <n v="37850.300000000003"/>
    <n v="2000"/>
    <n v="35850.300000000003"/>
    <n v="94.716025999999999"/>
  </r>
  <r>
    <s v="O0541"/>
    <x v="190"/>
    <x v="3"/>
    <d v="2024-10-12T00:00:00"/>
    <x v="0"/>
    <x v="1"/>
    <n v="37589.79"/>
    <n v="12000"/>
    <n v="25589.79"/>
    <n v="68.076437999999996"/>
  </r>
  <r>
    <s v="O0542"/>
    <x v="45"/>
    <x v="3"/>
    <d v="2024-11-17T00:00:00"/>
    <x v="10"/>
    <x v="1"/>
    <n v="31825.57"/>
    <n v="12000"/>
    <n v="19825.57"/>
    <n v="62.294469999999997"/>
  </r>
  <r>
    <s v="O0543"/>
    <x v="122"/>
    <x v="0"/>
    <d v="2024-10-19T00:00:00"/>
    <x v="0"/>
    <x v="3"/>
    <n v="42896.34"/>
    <n v="30000"/>
    <n v="12896.34"/>
    <n v="30.063963000000001"/>
  </r>
  <r>
    <s v="O0544"/>
    <x v="52"/>
    <x v="1"/>
    <d v="2024-04-11T00:00:00"/>
    <x v="3"/>
    <x v="2"/>
    <n v="22985.63"/>
    <n v="2000"/>
    <n v="20985.63"/>
    <n v="91.298912000000001"/>
  </r>
  <r>
    <s v="O0545"/>
    <x v="45"/>
    <x v="3"/>
    <d v="2024-05-29T00:00:00"/>
    <x v="5"/>
    <x v="0"/>
    <n v="14495.23"/>
    <n v="500"/>
    <n v="13995.23"/>
    <n v="96.550589000000002"/>
  </r>
  <r>
    <s v="O0546"/>
    <x v="31"/>
    <x v="1"/>
    <d v="2024-01-16T00:00:00"/>
    <x v="7"/>
    <x v="1"/>
    <n v="29458.74"/>
    <n v="12000"/>
    <n v="17458.740000000002"/>
    <n v="59.265059999999998"/>
  </r>
  <r>
    <s v="O0547"/>
    <x v="48"/>
    <x v="2"/>
    <d v="2024-06-23T00:00:00"/>
    <x v="6"/>
    <x v="2"/>
    <n v="13799.49"/>
    <n v="2000"/>
    <n v="11799.49"/>
    <n v="85.506710999999996"/>
  </r>
  <r>
    <s v="O0548"/>
    <x v="80"/>
    <x v="0"/>
    <d v="2024-07-29T00:00:00"/>
    <x v="4"/>
    <x v="2"/>
    <n v="30278.240000000002"/>
    <n v="2000"/>
    <n v="28278.240000000002"/>
    <n v="93.394596000000007"/>
  </r>
  <r>
    <s v="O0549"/>
    <x v="78"/>
    <x v="2"/>
    <d v="2024-08-31T00:00:00"/>
    <x v="8"/>
    <x v="0"/>
    <n v="41635.129999999997"/>
    <n v="500"/>
    <n v="41135.129999999997"/>
    <n v="98.799091000000004"/>
  </r>
  <r>
    <s v="O0550"/>
    <x v="30"/>
    <x v="0"/>
    <d v="2024-07-06T00:00:00"/>
    <x v="4"/>
    <x v="2"/>
    <n v="38704.81"/>
    <n v="2000"/>
    <n v="36704.81"/>
    <n v="94.832684"/>
  </r>
  <r>
    <s v="O0551"/>
    <x v="191"/>
    <x v="1"/>
    <d v="2024-12-24T00:00:00"/>
    <x v="11"/>
    <x v="3"/>
    <n v="6760.1"/>
    <n v="30000"/>
    <n v="-23239.9"/>
    <n v="-343.780417"/>
  </r>
  <r>
    <s v="O0552"/>
    <x v="103"/>
    <x v="1"/>
    <d v="2024-09-22T00:00:00"/>
    <x v="2"/>
    <x v="3"/>
    <n v="50376.81"/>
    <n v="30000"/>
    <n v="20376.810000000001"/>
    <n v="40.448790000000002"/>
  </r>
  <r>
    <s v="O0553"/>
    <x v="55"/>
    <x v="2"/>
    <d v="2024-05-11T00:00:00"/>
    <x v="5"/>
    <x v="2"/>
    <n v="47594.89"/>
    <n v="2000"/>
    <n v="45594.89"/>
    <n v="95.797867999999994"/>
  </r>
  <r>
    <s v="O0554"/>
    <x v="154"/>
    <x v="1"/>
    <d v="2024-07-29T00:00:00"/>
    <x v="4"/>
    <x v="0"/>
    <n v="45401.22"/>
    <n v="500"/>
    <n v="44901.22"/>
    <n v="98.898707999999999"/>
  </r>
  <r>
    <s v="O0555"/>
    <x v="162"/>
    <x v="2"/>
    <d v="2024-03-20T00:00:00"/>
    <x v="1"/>
    <x v="1"/>
    <n v="35744.26"/>
    <n v="12000"/>
    <n v="23744.26"/>
    <n v="66.428175999999993"/>
  </r>
  <r>
    <s v="O0556"/>
    <x v="91"/>
    <x v="2"/>
    <d v="2024-11-12T00:00:00"/>
    <x v="10"/>
    <x v="3"/>
    <n v="24781.51"/>
    <n v="30000"/>
    <n v="-5218.49"/>
    <n v="-21.057998000000001"/>
  </r>
  <r>
    <s v="O0557"/>
    <x v="85"/>
    <x v="3"/>
    <d v="2024-12-19T00:00:00"/>
    <x v="11"/>
    <x v="2"/>
    <n v="1374.99"/>
    <n v="2000"/>
    <n v="-625.01"/>
    <n v="-45.455603000000004"/>
  </r>
  <r>
    <s v="O0558"/>
    <x v="48"/>
    <x v="2"/>
    <d v="2024-02-04T00:00:00"/>
    <x v="9"/>
    <x v="2"/>
    <n v="40707.01"/>
    <n v="2000"/>
    <n v="38707.01"/>
    <n v="95.086841000000007"/>
  </r>
  <r>
    <s v="O0559"/>
    <x v="85"/>
    <x v="3"/>
    <d v="2024-08-06T00:00:00"/>
    <x v="8"/>
    <x v="2"/>
    <n v="43222.26"/>
    <n v="2000"/>
    <n v="41222.26"/>
    <n v="95.372754999999998"/>
  </r>
  <r>
    <s v="O0560"/>
    <x v="83"/>
    <x v="1"/>
    <d v="2024-01-13T00:00:00"/>
    <x v="7"/>
    <x v="2"/>
    <n v="45534.09"/>
    <n v="2000"/>
    <n v="43534.09"/>
    <n v="95.607686000000001"/>
  </r>
  <r>
    <s v="O0561"/>
    <x v="73"/>
    <x v="3"/>
    <d v="2024-11-26T00:00:00"/>
    <x v="10"/>
    <x v="3"/>
    <n v="44270.77"/>
    <n v="30000"/>
    <n v="14270.77"/>
    <n v="32.235196999999999"/>
  </r>
  <r>
    <s v="O0562"/>
    <x v="118"/>
    <x v="0"/>
    <d v="2024-05-25T00:00:00"/>
    <x v="5"/>
    <x v="2"/>
    <n v="19100.18"/>
    <n v="2000"/>
    <n v="17100.18"/>
    <n v="89.528893999999994"/>
  </r>
  <r>
    <s v="O0563"/>
    <x v="133"/>
    <x v="2"/>
    <d v="2024-05-30T00:00:00"/>
    <x v="5"/>
    <x v="2"/>
    <n v="49471.7"/>
    <n v="2000"/>
    <n v="47471.7"/>
    <n v="95.957284999999999"/>
  </r>
  <r>
    <s v="O0564"/>
    <x v="191"/>
    <x v="1"/>
    <d v="2024-07-29T00:00:00"/>
    <x v="4"/>
    <x v="3"/>
    <n v="13917.21"/>
    <n v="30000"/>
    <n v="-16082.79"/>
    <n v="-115.560446"/>
  </r>
  <r>
    <s v="O0565"/>
    <x v="89"/>
    <x v="1"/>
    <d v="2024-04-15T00:00:00"/>
    <x v="3"/>
    <x v="2"/>
    <n v="40756.639999999999"/>
    <n v="2000"/>
    <n v="38756.639999999999"/>
    <n v="95.092823999999993"/>
  </r>
  <r>
    <s v="O0566"/>
    <x v="43"/>
    <x v="0"/>
    <d v="2024-01-15T00:00:00"/>
    <x v="7"/>
    <x v="3"/>
    <n v="18662.38"/>
    <n v="30000"/>
    <n v="-11337.62"/>
    <n v="-60.751201000000002"/>
  </r>
  <r>
    <s v="O0567"/>
    <x v="103"/>
    <x v="1"/>
    <d v="2024-02-05T00:00:00"/>
    <x v="9"/>
    <x v="0"/>
    <n v="7653.4"/>
    <n v="500"/>
    <n v="7153.4"/>
    <n v="93.466955999999996"/>
  </r>
  <r>
    <s v="O0568"/>
    <x v="14"/>
    <x v="2"/>
    <d v="2024-01-05T00:00:00"/>
    <x v="7"/>
    <x v="2"/>
    <n v="38309.17"/>
    <n v="2000"/>
    <n v="36309.17"/>
    <n v="94.779318000000004"/>
  </r>
  <r>
    <s v="O0569"/>
    <x v="179"/>
    <x v="3"/>
    <d v="2024-12-22T00:00:00"/>
    <x v="11"/>
    <x v="3"/>
    <n v="30752.92"/>
    <n v="30000"/>
    <n v="752.92"/>
    <n v="2.4482879999999998"/>
  </r>
  <r>
    <s v="O0570"/>
    <x v="109"/>
    <x v="1"/>
    <d v="2024-06-03T00:00:00"/>
    <x v="6"/>
    <x v="0"/>
    <n v="35923.199999999997"/>
    <n v="500"/>
    <n v="35423.199999999997"/>
    <n v="98.608142000000001"/>
  </r>
  <r>
    <s v="O0571"/>
    <x v="161"/>
    <x v="3"/>
    <d v="2024-07-29T00:00:00"/>
    <x v="4"/>
    <x v="0"/>
    <n v="48262.2"/>
    <n v="500"/>
    <n v="47762.2"/>
    <n v="98.963993000000002"/>
  </r>
  <r>
    <s v="O0572"/>
    <x v="56"/>
    <x v="1"/>
    <d v="2024-12-02T00:00:00"/>
    <x v="11"/>
    <x v="2"/>
    <n v="41916.379999999997"/>
    <n v="2000"/>
    <n v="39916.379999999997"/>
    <n v="95.228595999999996"/>
  </r>
  <r>
    <s v="O0573"/>
    <x v="61"/>
    <x v="0"/>
    <d v="2024-03-27T00:00:00"/>
    <x v="1"/>
    <x v="0"/>
    <n v="33440.730000000003"/>
    <n v="500"/>
    <n v="32940.730000000003"/>
    <n v="98.504817000000003"/>
  </r>
  <r>
    <s v="O0574"/>
    <x v="171"/>
    <x v="0"/>
    <d v="2024-11-13T00:00:00"/>
    <x v="10"/>
    <x v="3"/>
    <n v="23906.1"/>
    <n v="30000"/>
    <n v="-6093.9"/>
    <n v="-25.490983"/>
  </r>
  <r>
    <s v="O0575"/>
    <x v="112"/>
    <x v="1"/>
    <d v="2024-04-18T00:00:00"/>
    <x v="3"/>
    <x v="1"/>
    <n v="19906.05"/>
    <n v="12000"/>
    <n v="7906.05"/>
    <n v="39.716819999999998"/>
  </r>
  <r>
    <s v="O0576"/>
    <x v="155"/>
    <x v="0"/>
    <d v="2024-12-17T00:00:00"/>
    <x v="11"/>
    <x v="2"/>
    <n v="36744.61"/>
    <n v="2000"/>
    <n v="34744.61"/>
    <n v="94.557024999999996"/>
  </r>
  <r>
    <s v="O0577"/>
    <x v="96"/>
    <x v="3"/>
    <d v="2024-03-18T00:00:00"/>
    <x v="1"/>
    <x v="2"/>
    <n v="45635.040000000001"/>
    <n v="2000"/>
    <n v="43635.040000000001"/>
    <n v="95.617402999999996"/>
  </r>
  <r>
    <s v="O0578"/>
    <x v="147"/>
    <x v="3"/>
    <d v="2024-01-17T00:00:00"/>
    <x v="7"/>
    <x v="1"/>
    <n v="17238.86"/>
    <n v="12000"/>
    <n v="5238.8599999999997"/>
    <n v="30.389828999999999"/>
  </r>
  <r>
    <s v="O0579"/>
    <x v="98"/>
    <x v="0"/>
    <d v="2024-03-21T00:00:00"/>
    <x v="1"/>
    <x v="3"/>
    <n v="22513.9"/>
    <n v="30000"/>
    <n v="-7486.1"/>
    <n v="-33.251013999999998"/>
  </r>
  <r>
    <s v="O0580"/>
    <x v="158"/>
    <x v="3"/>
    <d v="2024-04-23T00:00:00"/>
    <x v="3"/>
    <x v="1"/>
    <n v="3454.02"/>
    <n v="12000"/>
    <n v="-8545.98"/>
    <n v="-247.421266"/>
  </r>
  <r>
    <s v="O0581"/>
    <x v="57"/>
    <x v="3"/>
    <d v="2024-04-06T00:00:00"/>
    <x v="3"/>
    <x v="1"/>
    <n v="8302.2800000000007"/>
    <n v="12000"/>
    <n v="-3697.72"/>
    <n v="-44.538609000000001"/>
  </r>
  <r>
    <s v="O0582"/>
    <x v="160"/>
    <x v="0"/>
    <d v="2024-01-25T00:00:00"/>
    <x v="7"/>
    <x v="2"/>
    <n v="41042.21"/>
    <n v="2000"/>
    <n v="39042.21"/>
    <n v="95.126968000000005"/>
  </r>
  <r>
    <s v="O0583"/>
    <x v="84"/>
    <x v="3"/>
    <d v="2024-03-23T00:00:00"/>
    <x v="1"/>
    <x v="0"/>
    <n v="4305.3"/>
    <n v="500"/>
    <n v="3805.3"/>
    <n v="88.386407000000005"/>
  </r>
  <r>
    <s v="O0584"/>
    <x v="85"/>
    <x v="3"/>
    <d v="2024-09-14T00:00:00"/>
    <x v="2"/>
    <x v="1"/>
    <n v="11560.08"/>
    <n v="12000"/>
    <n v="-439.92"/>
    <n v="-3.8055099999999999"/>
  </r>
  <r>
    <s v="O0585"/>
    <x v="88"/>
    <x v="3"/>
    <d v="2024-05-24T00:00:00"/>
    <x v="5"/>
    <x v="1"/>
    <n v="39439.54"/>
    <n v="12000"/>
    <n v="27439.54"/>
    <n v="69.573682000000005"/>
  </r>
  <r>
    <s v="O0586"/>
    <x v="67"/>
    <x v="0"/>
    <d v="2024-01-08T00:00:00"/>
    <x v="7"/>
    <x v="1"/>
    <n v="48722.07"/>
    <n v="12000"/>
    <n v="36722.07"/>
    <n v="75.370504999999994"/>
  </r>
  <r>
    <s v="O0587"/>
    <x v="177"/>
    <x v="2"/>
    <d v="2024-11-18T00:00:00"/>
    <x v="10"/>
    <x v="0"/>
    <n v="15744.29"/>
    <n v="500"/>
    <n v="15244.29"/>
    <n v="96.824245000000005"/>
  </r>
  <r>
    <s v="O0588"/>
    <x v="93"/>
    <x v="1"/>
    <d v="2024-08-05T00:00:00"/>
    <x v="8"/>
    <x v="1"/>
    <n v="17867.45"/>
    <n v="12000"/>
    <n v="5867.45"/>
    <n v="32.838765000000002"/>
  </r>
  <r>
    <s v="O0589"/>
    <x v="67"/>
    <x v="0"/>
    <d v="2024-10-21T00:00:00"/>
    <x v="0"/>
    <x v="1"/>
    <n v="13125.95"/>
    <n v="12000"/>
    <n v="1125.95"/>
    <n v="8.5780460000000005"/>
  </r>
  <r>
    <s v="O0590"/>
    <x v="39"/>
    <x v="3"/>
    <d v="2024-11-10T00:00:00"/>
    <x v="10"/>
    <x v="2"/>
    <n v="3487.64"/>
    <n v="2000"/>
    <n v="1487.64"/>
    <n v="42.654631999999999"/>
  </r>
  <r>
    <s v="O0591"/>
    <x v="138"/>
    <x v="3"/>
    <d v="2024-07-26T00:00:00"/>
    <x v="4"/>
    <x v="2"/>
    <n v="39164.269999999997"/>
    <n v="2000"/>
    <n v="37164.269999999997"/>
    <n v="94.893304999999998"/>
  </r>
  <r>
    <s v="O0592"/>
    <x v="49"/>
    <x v="3"/>
    <d v="2024-08-01T00:00:00"/>
    <x v="8"/>
    <x v="3"/>
    <n v="4309.1099999999997"/>
    <n v="30000"/>
    <n v="-25690.89"/>
    <n v="-596.19944699999996"/>
  </r>
  <r>
    <s v="O0593"/>
    <x v="71"/>
    <x v="3"/>
    <d v="2024-04-13T00:00:00"/>
    <x v="3"/>
    <x v="0"/>
    <n v="23524.89"/>
    <n v="500"/>
    <n v="23024.89"/>
    <n v="97.874592000000007"/>
  </r>
  <r>
    <s v="O0594"/>
    <x v="71"/>
    <x v="3"/>
    <d v="2024-10-17T00:00:00"/>
    <x v="0"/>
    <x v="1"/>
    <n v="36596.42"/>
    <n v="12000"/>
    <n v="24596.42"/>
    <n v="67.209907000000001"/>
  </r>
  <r>
    <s v="O0595"/>
    <x v="21"/>
    <x v="2"/>
    <d v="2024-09-07T00:00:00"/>
    <x v="2"/>
    <x v="0"/>
    <n v="47670.91"/>
    <n v="500"/>
    <n v="47170.91"/>
    <n v="98.951142000000004"/>
  </r>
  <r>
    <s v="O0596"/>
    <x v="146"/>
    <x v="0"/>
    <d v="2024-11-02T00:00:00"/>
    <x v="10"/>
    <x v="0"/>
    <n v="6165.79"/>
    <n v="500"/>
    <n v="5665.79"/>
    <n v="91.890738999999996"/>
  </r>
  <r>
    <s v="O0597"/>
    <x v="49"/>
    <x v="3"/>
    <d v="2024-07-29T00:00:00"/>
    <x v="4"/>
    <x v="3"/>
    <n v="45011.93"/>
    <n v="30000"/>
    <n v="15011.93"/>
    <n v="33.351002999999999"/>
  </r>
  <r>
    <s v="O0598"/>
    <x v="34"/>
    <x v="1"/>
    <d v="2024-05-19T00:00:00"/>
    <x v="5"/>
    <x v="2"/>
    <n v="28809.89"/>
    <n v="2000"/>
    <n v="26809.89"/>
    <n v="93.057939000000005"/>
  </r>
  <r>
    <s v="O0599"/>
    <x v="57"/>
    <x v="3"/>
    <d v="2024-09-30T00:00:00"/>
    <x v="2"/>
    <x v="0"/>
    <n v="41188.86"/>
    <n v="500"/>
    <n v="40688.86"/>
    <n v="98.786079999999998"/>
  </r>
  <r>
    <s v="O0600"/>
    <x v="34"/>
    <x v="1"/>
    <d v="2024-09-14T00:00:00"/>
    <x v="2"/>
    <x v="1"/>
    <n v="37264.22"/>
    <n v="12000"/>
    <n v="25264.22"/>
    <n v="67.797528"/>
  </r>
  <r>
    <s v="O0601"/>
    <x v="9"/>
    <x v="2"/>
    <d v="2024-05-11T00:00:00"/>
    <x v="5"/>
    <x v="0"/>
    <n v="40327.480000000003"/>
    <n v="500"/>
    <n v="39827.480000000003"/>
    <n v="98.760150999999993"/>
  </r>
  <r>
    <s v="O0602"/>
    <x v="143"/>
    <x v="2"/>
    <d v="2024-03-31T00:00:00"/>
    <x v="1"/>
    <x v="2"/>
    <n v="12336.98"/>
    <n v="2000"/>
    <n v="10336.98"/>
    <n v="83.788577000000004"/>
  </r>
  <r>
    <s v="O0603"/>
    <x v="179"/>
    <x v="3"/>
    <d v="2024-02-11T00:00:00"/>
    <x v="9"/>
    <x v="0"/>
    <n v="31967.4"/>
    <n v="500"/>
    <n v="31467.4"/>
    <n v="98.435907"/>
  </r>
  <r>
    <s v="O0604"/>
    <x v="90"/>
    <x v="0"/>
    <d v="2024-05-07T00:00:00"/>
    <x v="5"/>
    <x v="0"/>
    <n v="38531.800000000003"/>
    <n v="500"/>
    <n v="38031.800000000003"/>
    <n v="98.702370999999999"/>
  </r>
  <r>
    <s v="O0605"/>
    <x v="57"/>
    <x v="3"/>
    <d v="2024-10-20T00:00:00"/>
    <x v="0"/>
    <x v="3"/>
    <n v="827.85"/>
    <n v="30000"/>
    <n v="-29172.15"/>
    <n v="-3523.8448990000002"/>
  </r>
  <r>
    <s v="O0606"/>
    <x v="105"/>
    <x v="2"/>
    <d v="2024-02-05T00:00:00"/>
    <x v="9"/>
    <x v="0"/>
    <n v="42350.12"/>
    <n v="500"/>
    <n v="41850.120000000003"/>
    <n v="98.819366000000002"/>
  </r>
  <r>
    <s v="O0607"/>
    <x v="192"/>
    <x v="3"/>
    <d v="2024-12-18T00:00:00"/>
    <x v="11"/>
    <x v="0"/>
    <n v="49762.78"/>
    <n v="500"/>
    <n v="49262.78"/>
    <n v="98.995232999999999"/>
  </r>
  <r>
    <s v="O0608"/>
    <x v="59"/>
    <x v="2"/>
    <d v="2024-05-19T00:00:00"/>
    <x v="5"/>
    <x v="0"/>
    <n v="43522.32"/>
    <n v="500"/>
    <n v="43022.32"/>
    <n v="98.851163999999997"/>
  </r>
  <r>
    <s v="O0609"/>
    <x v="82"/>
    <x v="0"/>
    <d v="2024-11-19T00:00:00"/>
    <x v="10"/>
    <x v="2"/>
    <n v="37572.379999999997"/>
    <n v="2000"/>
    <n v="35572.379999999997"/>
    <n v="94.676940999999999"/>
  </r>
  <r>
    <s v="O0610"/>
    <x v="170"/>
    <x v="1"/>
    <d v="2024-07-21T00:00:00"/>
    <x v="4"/>
    <x v="1"/>
    <n v="27842.41"/>
    <n v="12000"/>
    <n v="15842.41"/>
    <n v="56.900283000000002"/>
  </r>
  <r>
    <s v="O0611"/>
    <x v="141"/>
    <x v="3"/>
    <d v="2024-09-27T00:00:00"/>
    <x v="2"/>
    <x v="2"/>
    <n v="21961.31"/>
    <n v="2000"/>
    <n v="19961.310000000001"/>
    <n v="90.893074999999996"/>
  </r>
  <r>
    <s v="O0612"/>
    <x v="77"/>
    <x v="0"/>
    <d v="2024-09-29T00:00:00"/>
    <x v="2"/>
    <x v="1"/>
    <n v="11732.05"/>
    <n v="12000"/>
    <n v="-267.95"/>
    <n v="-2.2839149999999999"/>
  </r>
  <r>
    <s v="O0613"/>
    <x v="11"/>
    <x v="1"/>
    <d v="2024-12-16T00:00:00"/>
    <x v="11"/>
    <x v="3"/>
    <n v="2680.69"/>
    <n v="30000"/>
    <n v="-27319.31"/>
    <n v="-1019.114855"/>
  </r>
  <r>
    <s v="O0614"/>
    <x v="47"/>
    <x v="1"/>
    <d v="2024-12-25T00:00:00"/>
    <x v="11"/>
    <x v="1"/>
    <n v="37624.269999999997"/>
    <n v="12000"/>
    <n v="25624.27"/>
    <n v="68.105693000000002"/>
  </r>
  <r>
    <s v="O0615"/>
    <x v="67"/>
    <x v="0"/>
    <d v="2024-02-04T00:00:00"/>
    <x v="9"/>
    <x v="0"/>
    <n v="28887.24"/>
    <n v="500"/>
    <n v="28387.24"/>
    <n v="98.269131999999999"/>
  </r>
  <r>
    <s v="O0616"/>
    <x v="65"/>
    <x v="3"/>
    <d v="2024-02-03T00:00:00"/>
    <x v="9"/>
    <x v="2"/>
    <n v="50490.12"/>
    <n v="2000"/>
    <n v="48490.12"/>
    <n v="96.038829000000007"/>
  </r>
  <r>
    <s v="O0617"/>
    <x v="190"/>
    <x v="3"/>
    <d v="2024-09-26T00:00:00"/>
    <x v="2"/>
    <x v="3"/>
    <n v="37832.28"/>
    <n v="30000"/>
    <n v="7832.28"/>
    <n v="20.702638"/>
  </r>
  <r>
    <s v="O0618"/>
    <x v="103"/>
    <x v="1"/>
    <d v="2024-03-12T00:00:00"/>
    <x v="1"/>
    <x v="1"/>
    <n v="18019.2"/>
    <n v="12000"/>
    <n v="6019.2"/>
    <n v="33.404369000000003"/>
  </r>
  <r>
    <s v="O0619"/>
    <x v="105"/>
    <x v="2"/>
    <d v="2024-08-31T00:00:00"/>
    <x v="8"/>
    <x v="2"/>
    <n v="19580.21"/>
    <n v="2000"/>
    <n v="17580.21"/>
    <n v="89.785605000000004"/>
  </r>
  <r>
    <s v="O0620"/>
    <x v="5"/>
    <x v="0"/>
    <d v="2024-08-11T00:00:00"/>
    <x v="8"/>
    <x v="1"/>
    <n v="36643.660000000003"/>
    <n v="12000"/>
    <n v="24643.66"/>
    <n v="67.252179999999996"/>
  </r>
  <r>
    <s v="O0621"/>
    <x v="114"/>
    <x v="0"/>
    <d v="2024-02-01T00:00:00"/>
    <x v="9"/>
    <x v="0"/>
    <n v="25913.62"/>
    <n v="500"/>
    <n v="25413.62"/>
    <n v="98.070513000000005"/>
  </r>
  <r>
    <s v="O0622"/>
    <x v="63"/>
    <x v="1"/>
    <d v="2024-08-10T00:00:00"/>
    <x v="8"/>
    <x v="1"/>
    <n v="2675.84"/>
    <n v="12000"/>
    <n v="-9324.16"/>
    <n v="-348.45730700000001"/>
  </r>
  <r>
    <s v="O0623"/>
    <x v="101"/>
    <x v="3"/>
    <d v="2024-05-24T00:00:00"/>
    <x v="5"/>
    <x v="0"/>
    <n v="34360.769999999997"/>
    <n v="500"/>
    <n v="33860.769999999997"/>
    <n v="98.544852000000006"/>
  </r>
  <r>
    <s v="O0624"/>
    <x v="35"/>
    <x v="0"/>
    <d v="2024-02-18T00:00:00"/>
    <x v="9"/>
    <x v="2"/>
    <n v="16407.98"/>
    <n v="2000"/>
    <n v="14407.98"/>
    <n v="87.810809000000006"/>
  </r>
  <r>
    <s v="O0625"/>
    <x v="130"/>
    <x v="2"/>
    <d v="2024-02-26T00:00:00"/>
    <x v="9"/>
    <x v="3"/>
    <n v="36607.480000000003"/>
    <n v="30000"/>
    <n v="6607.48"/>
    <n v="18.049534999999999"/>
  </r>
  <r>
    <s v="O0626"/>
    <x v="27"/>
    <x v="2"/>
    <d v="2024-11-21T00:00:00"/>
    <x v="10"/>
    <x v="2"/>
    <n v="43389.96"/>
    <n v="2000"/>
    <n v="41389.96"/>
    <n v="95.390638999999993"/>
  </r>
  <r>
    <s v="O0627"/>
    <x v="181"/>
    <x v="2"/>
    <d v="2024-02-02T00:00:00"/>
    <x v="9"/>
    <x v="2"/>
    <n v="39081.449999999997"/>
    <n v="2000"/>
    <n v="37081.449999999997"/>
    <n v="94.882482999999993"/>
  </r>
  <r>
    <s v="O0628"/>
    <x v="93"/>
    <x v="1"/>
    <d v="2024-02-27T00:00:00"/>
    <x v="9"/>
    <x v="3"/>
    <n v="35878.79"/>
    <n v="30000"/>
    <n v="5878.79"/>
    <n v="16.38514"/>
  </r>
  <r>
    <s v="O0629"/>
    <x v="192"/>
    <x v="3"/>
    <d v="2024-08-11T00:00:00"/>
    <x v="8"/>
    <x v="3"/>
    <n v="8926.94"/>
    <n v="30000"/>
    <n v="-21073.06"/>
    <n v="-236.06140500000001"/>
  </r>
  <r>
    <s v="O0630"/>
    <x v="155"/>
    <x v="0"/>
    <d v="2024-12-15T00:00:00"/>
    <x v="11"/>
    <x v="2"/>
    <n v="33191.03"/>
    <n v="2000"/>
    <n v="31191.03"/>
    <n v="93.974276000000003"/>
  </r>
  <r>
    <s v="O0631"/>
    <x v="84"/>
    <x v="3"/>
    <d v="2024-07-07T00:00:00"/>
    <x v="4"/>
    <x v="3"/>
    <n v="22027.65"/>
    <n v="30000"/>
    <n v="-7972.35"/>
    <n v="-36.192467000000001"/>
  </r>
  <r>
    <s v="O0632"/>
    <x v="21"/>
    <x v="2"/>
    <d v="2024-01-06T00:00:00"/>
    <x v="7"/>
    <x v="1"/>
    <n v="9858.5"/>
    <n v="12000"/>
    <n v="-2141.5"/>
    <n v="-21.722372"/>
  </r>
  <r>
    <s v="O0633"/>
    <x v="85"/>
    <x v="3"/>
    <d v="2024-04-21T00:00:00"/>
    <x v="3"/>
    <x v="1"/>
    <n v="23075.55"/>
    <n v="12000"/>
    <n v="11075.55"/>
    <n v="47.996906000000003"/>
  </r>
  <r>
    <s v="O0634"/>
    <x v="75"/>
    <x v="3"/>
    <d v="2024-10-23T00:00:00"/>
    <x v="0"/>
    <x v="2"/>
    <n v="25317.56"/>
    <n v="2000"/>
    <n v="23317.56"/>
    <n v="92.100345000000004"/>
  </r>
  <r>
    <s v="O0635"/>
    <x v="187"/>
    <x v="2"/>
    <d v="2024-06-20T00:00:00"/>
    <x v="6"/>
    <x v="0"/>
    <n v="20547.21"/>
    <n v="500"/>
    <n v="20047.21"/>
    <n v="97.566580000000002"/>
  </r>
  <r>
    <s v="O0636"/>
    <x v="55"/>
    <x v="2"/>
    <d v="2024-08-15T00:00:00"/>
    <x v="8"/>
    <x v="0"/>
    <n v="39472.339999999997"/>
    <n v="500"/>
    <n v="38972.339999999997"/>
    <n v="98.733289999999997"/>
  </r>
  <r>
    <s v="O0637"/>
    <x v="2"/>
    <x v="1"/>
    <d v="2024-08-22T00:00:00"/>
    <x v="8"/>
    <x v="2"/>
    <n v="13224.66"/>
    <n v="2000"/>
    <n v="11224.66"/>
    <n v="84.876738000000003"/>
  </r>
  <r>
    <s v="O0638"/>
    <x v="182"/>
    <x v="3"/>
    <d v="2024-03-03T00:00:00"/>
    <x v="1"/>
    <x v="2"/>
    <n v="49104.55"/>
    <n v="2000"/>
    <n v="47104.55"/>
    <n v="95.927058000000002"/>
  </r>
  <r>
    <s v="O0639"/>
    <x v="193"/>
    <x v="0"/>
    <d v="2024-05-13T00:00:00"/>
    <x v="5"/>
    <x v="3"/>
    <n v="50126.28"/>
    <n v="30000"/>
    <n v="20126.28"/>
    <n v="40.151153999999998"/>
  </r>
  <r>
    <s v="O0640"/>
    <x v="160"/>
    <x v="0"/>
    <d v="2024-02-26T00:00:00"/>
    <x v="9"/>
    <x v="3"/>
    <n v="38355.050000000003"/>
    <n v="30000"/>
    <n v="8355.0499999999993"/>
    <n v="21.783442000000001"/>
  </r>
  <r>
    <s v="O0641"/>
    <x v="122"/>
    <x v="0"/>
    <d v="2024-12-19T00:00:00"/>
    <x v="11"/>
    <x v="0"/>
    <n v="27515.599999999999"/>
    <n v="500"/>
    <n v="27015.599999999999"/>
    <n v="98.182849000000004"/>
  </r>
  <r>
    <s v="O0642"/>
    <x v="145"/>
    <x v="2"/>
    <d v="2024-08-24T00:00:00"/>
    <x v="8"/>
    <x v="2"/>
    <n v="49730.89"/>
    <n v="2000"/>
    <n v="47730.89"/>
    <n v="95.978354999999993"/>
  </r>
  <r>
    <s v="O0643"/>
    <x v="105"/>
    <x v="2"/>
    <d v="2024-12-02T00:00:00"/>
    <x v="11"/>
    <x v="0"/>
    <n v="1278.96"/>
    <n v="500"/>
    <n v="778.96"/>
    <n v="60.905735999999997"/>
  </r>
  <r>
    <s v="O0644"/>
    <x v="131"/>
    <x v="3"/>
    <d v="2024-05-06T00:00:00"/>
    <x v="5"/>
    <x v="0"/>
    <n v="36359.879999999997"/>
    <n v="500"/>
    <n v="35859.879999999997"/>
    <n v="98.624858000000003"/>
  </r>
  <r>
    <s v="O0645"/>
    <x v="156"/>
    <x v="2"/>
    <d v="2024-07-12T00:00:00"/>
    <x v="4"/>
    <x v="3"/>
    <n v="4533.97"/>
    <n v="30000"/>
    <n v="-25466.03"/>
    <n v="-561.67178000000001"/>
  </r>
  <r>
    <s v="O0646"/>
    <x v="99"/>
    <x v="1"/>
    <d v="2024-10-29T00:00:00"/>
    <x v="0"/>
    <x v="0"/>
    <n v="36652.480000000003"/>
    <n v="500"/>
    <n v="36152.480000000003"/>
    <n v="98.635835999999998"/>
  </r>
  <r>
    <s v="O0647"/>
    <x v="181"/>
    <x v="2"/>
    <d v="2024-02-21T00:00:00"/>
    <x v="9"/>
    <x v="0"/>
    <n v="45158.5"/>
    <n v="500"/>
    <n v="44658.5"/>
    <n v="98.892788999999993"/>
  </r>
  <r>
    <s v="O0648"/>
    <x v="51"/>
    <x v="0"/>
    <d v="2024-10-26T00:00:00"/>
    <x v="0"/>
    <x v="3"/>
    <n v="36729.4"/>
    <n v="30000"/>
    <n v="6729.4"/>
    <n v="18.321563000000001"/>
  </r>
  <r>
    <s v="O0649"/>
    <x v="138"/>
    <x v="3"/>
    <d v="2024-05-20T00:00:00"/>
    <x v="5"/>
    <x v="0"/>
    <n v="36851.78"/>
    <n v="500"/>
    <n v="36351.78"/>
    <n v="98.643213000000003"/>
  </r>
  <r>
    <s v="O0650"/>
    <x v="25"/>
    <x v="1"/>
    <d v="2024-10-15T00:00:00"/>
    <x v="0"/>
    <x v="0"/>
    <n v="15628.2"/>
    <n v="500"/>
    <n v="15128.2"/>
    <n v="96.800655000000006"/>
  </r>
  <r>
    <s v="O0651"/>
    <x v="31"/>
    <x v="1"/>
    <d v="2024-12-30T00:00:00"/>
    <x v="11"/>
    <x v="3"/>
    <n v="31111.56"/>
    <n v="30000"/>
    <n v="1111.56"/>
    <n v="3.5728200000000001"/>
  </r>
  <r>
    <s v="O0652"/>
    <x v="161"/>
    <x v="3"/>
    <d v="2024-02-23T00:00:00"/>
    <x v="9"/>
    <x v="0"/>
    <n v="26399.74"/>
    <n v="500"/>
    <n v="25899.74"/>
    <n v="98.106042000000002"/>
  </r>
  <r>
    <s v="O0653"/>
    <x v="97"/>
    <x v="3"/>
    <d v="2024-12-15T00:00:00"/>
    <x v="11"/>
    <x v="3"/>
    <n v="14006.15"/>
    <n v="30000"/>
    <n v="-15993.85"/>
    <n v="-114.19162300000001"/>
  </r>
  <r>
    <s v="O0654"/>
    <x v="107"/>
    <x v="0"/>
    <d v="2024-07-21T00:00:00"/>
    <x v="4"/>
    <x v="3"/>
    <n v="28430.799999999999"/>
    <n v="30000"/>
    <n v="-1569.2"/>
    <n v="-5.5193659999999998"/>
  </r>
  <r>
    <s v="O0655"/>
    <x v="31"/>
    <x v="1"/>
    <d v="2024-12-09T00:00:00"/>
    <x v="11"/>
    <x v="0"/>
    <n v="16436.990000000002"/>
    <n v="500"/>
    <n v="15936.99"/>
    <n v="96.958081000000007"/>
  </r>
  <r>
    <s v="O0656"/>
    <x v="116"/>
    <x v="1"/>
    <d v="2024-08-26T00:00:00"/>
    <x v="8"/>
    <x v="1"/>
    <n v="20373.04"/>
    <n v="12000"/>
    <n v="8373.0400000000009"/>
    <n v="41.098627999999998"/>
  </r>
  <r>
    <s v="O0657"/>
    <x v="26"/>
    <x v="3"/>
    <d v="2024-09-06T00:00:00"/>
    <x v="2"/>
    <x v="1"/>
    <n v="40551.160000000003"/>
    <n v="12000"/>
    <n v="28551.16"/>
    <n v="70.407752000000002"/>
  </r>
  <r>
    <s v="O0658"/>
    <x v="108"/>
    <x v="1"/>
    <d v="2024-09-06T00:00:00"/>
    <x v="2"/>
    <x v="3"/>
    <n v="46813.81"/>
    <n v="30000"/>
    <n v="16813.810000000001"/>
    <n v="35.916345999999997"/>
  </r>
  <r>
    <s v="O0659"/>
    <x v="186"/>
    <x v="3"/>
    <d v="2024-02-08T00:00:00"/>
    <x v="9"/>
    <x v="3"/>
    <n v="30937.43"/>
    <n v="30000"/>
    <n v="937.43"/>
    <n v="3.030084"/>
  </r>
  <r>
    <s v="O0660"/>
    <x v="9"/>
    <x v="2"/>
    <d v="2024-08-03T00:00:00"/>
    <x v="8"/>
    <x v="3"/>
    <n v="41459.089999999997"/>
    <n v="30000"/>
    <n v="11459.09"/>
    <n v="27.639512"/>
  </r>
  <r>
    <s v="O0661"/>
    <x v="179"/>
    <x v="3"/>
    <d v="2024-01-21T00:00:00"/>
    <x v="7"/>
    <x v="2"/>
    <n v="18864.740000000002"/>
    <n v="2000"/>
    <n v="16864.740000000002"/>
    <n v="89.398211000000003"/>
  </r>
  <r>
    <s v="O0662"/>
    <x v="172"/>
    <x v="3"/>
    <d v="2024-06-13T00:00:00"/>
    <x v="6"/>
    <x v="0"/>
    <n v="35432.400000000001"/>
    <n v="500"/>
    <n v="34932.400000000001"/>
    <n v="98.588862000000006"/>
  </r>
  <r>
    <s v="O0663"/>
    <x v="176"/>
    <x v="3"/>
    <d v="2024-12-08T00:00:00"/>
    <x v="11"/>
    <x v="3"/>
    <n v="13161.2"/>
    <n v="30000"/>
    <n v="-16838.8"/>
    <n v="-127.942741"/>
  </r>
  <r>
    <s v="O0664"/>
    <x v="194"/>
    <x v="2"/>
    <d v="2024-02-22T00:00:00"/>
    <x v="9"/>
    <x v="2"/>
    <n v="37203.75"/>
    <n v="2000"/>
    <n v="35203.75"/>
    <n v="94.624198000000007"/>
  </r>
  <r>
    <s v="O0665"/>
    <x v="100"/>
    <x v="2"/>
    <d v="2024-11-25T00:00:00"/>
    <x v="10"/>
    <x v="2"/>
    <n v="11862.29"/>
    <n v="2000"/>
    <n v="9862.2900000000009"/>
    <n v="83.139848999999998"/>
  </r>
  <r>
    <s v="O0666"/>
    <x v="47"/>
    <x v="1"/>
    <d v="2024-11-06T00:00:00"/>
    <x v="10"/>
    <x v="2"/>
    <n v="40860.949999999997"/>
    <n v="2000"/>
    <n v="38860.949999999997"/>
    <n v="95.105350999999999"/>
  </r>
  <r>
    <s v="O0667"/>
    <x v="151"/>
    <x v="3"/>
    <d v="2024-04-17T00:00:00"/>
    <x v="3"/>
    <x v="1"/>
    <n v="21862.59"/>
    <n v="12000"/>
    <n v="9862.59"/>
    <n v="45.111718000000003"/>
  </r>
  <r>
    <s v="O0668"/>
    <x v="113"/>
    <x v="2"/>
    <d v="2024-02-04T00:00:00"/>
    <x v="9"/>
    <x v="3"/>
    <n v="2615.34"/>
    <n v="30000"/>
    <n v="-27384.66"/>
    <n v="-1047.078391"/>
  </r>
  <r>
    <s v="O0669"/>
    <x v="117"/>
    <x v="3"/>
    <d v="2024-09-20T00:00:00"/>
    <x v="2"/>
    <x v="2"/>
    <n v="29525.599999999999"/>
    <n v="2000"/>
    <n v="27525.599999999999"/>
    <n v="93.226217000000005"/>
  </r>
  <r>
    <s v="O0670"/>
    <x v="39"/>
    <x v="3"/>
    <d v="2024-09-04T00:00:00"/>
    <x v="2"/>
    <x v="0"/>
    <n v="49235.63"/>
    <n v="500"/>
    <n v="48735.63"/>
    <n v="98.984475000000003"/>
  </r>
  <r>
    <s v="O0671"/>
    <x v="86"/>
    <x v="3"/>
    <d v="2024-09-23T00:00:00"/>
    <x v="2"/>
    <x v="1"/>
    <n v="32337.81"/>
    <n v="12000"/>
    <n v="20337.810000000001"/>
    <n v="62.891736000000002"/>
  </r>
  <r>
    <s v="O0672"/>
    <x v="39"/>
    <x v="3"/>
    <d v="2024-05-17T00:00:00"/>
    <x v="5"/>
    <x v="1"/>
    <n v="18509.78"/>
    <n v="12000"/>
    <n v="6509.78"/>
    <n v="35.169407999999997"/>
  </r>
  <r>
    <s v="O0673"/>
    <x v="111"/>
    <x v="0"/>
    <d v="2024-07-25T00:00:00"/>
    <x v="4"/>
    <x v="1"/>
    <n v="28340.37"/>
    <n v="12000"/>
    <n v="16340.37"/>
    <n v="57.657575000000001"/>
  </r>
  <r>
    <s v="O0674"/>
    <x v="184"/>
    <x v="1"/>
    <d v="2024-03-11T00:00:00"/>
    <x v="1"/>
    <x v="1"/>
    <n v="38666.75"/>
    <n v="12000"/>
    <n v="26666.75"/>
    <n v="68.965584000000007"/>
  </r>
  <r>
    <s v="O0675"/>
    <x v="99"/>
    <x v="1"/>
    <d v="2024-08-05T00:00:00"/>
    <x v="8"/>
    <x v="2"/>
    <n v="31248.09"/>
    <n v="2000"/>
    <n v="29248.09"/>
    <n v="93.599609000000001"/>
  </r>
  <r>
    <s v="O0676"/>
    <x v="195"/>
    <x v="2"/>
    <d v="2024-07-08T00:00:00"/>
    <x v="4"/>
    <x v="2"/>
    <n v="29408.27"/>
    <n v="2000"/>
    <n v="27408.27"/>
    <n v="93.199191999999996"/>
  </r>
  <r>
    <s v="O0677"/>
    <x v="135"/>
    <x v="1"/>
    <d v="2024-06-30T00:00:00"/>
    <x v="6"/>
    <x v="2"/>
    <n v="18412.45"/>
    <n v="2000"/>
    <n v="16412.45"/>
    <n v="89.137783999999996"/>
  </r>
  <r>
    <s v="O0678"/>
    <x v="25"/>
    <x v="1"/>
    <d v="2024-06-15T00:00:00"/>
    <x v="6"/>
    <x v="1"/>
    <n v="46652.08"/>
    <n v="12000"/>
    <n v="34652.080000000002"/>
    <n v="74.277674000000005"/>
  </r>
  <r>
    <s v="O0679"/>
    <x v="196"/>
    <x v="3"/>
    <d v="2024-08-18T00:00:00"/>
    <x v="8"/>
    <x v="0"/>
    <n v="22099.03"/>
    <n v="500"/>
    <n v="21599.03"/>
    <n v="97.737457000000006"/>
  </r>
  <r>
    <s v="O0680"/>
    <x v="39"/>
    <x v="3"/>
    <d v="2024-12-10T00:00:00"/>
    <x v="11"/>
    <x v="3"/>
    <n v="44111.58"/>
    <n v="30000"/>
    <n v="14111.58"/>
    <n v="31.990646999999999"/>
  </r>
  <r>
    <s v="O0681"/>
    <x v="140"/>
    <x v="3"/>
    <d v="2024-07-11T00:00:00"/>
    <x v="4"/>
    <x v="1"/>
    <n v="29023.74"/>
    <n v="12000"/>
    <n v="17023.740000000002"/>
    <n v="58.654536"/>
  </r>
  <r>
    <s v="O0682"/>
    <x v="173"/>
    <x v="2"/>
    <d v="2024-10-25T00:00:00"/>
    <x v="0"/>
    <x v="0"/>
    <n v="25407.759999999998"/>
    <n v="500"/>
    <n v="24907.759999999998"/>
    <n v="98.032096999999993"/>
  </r>
  <r>
    <s v="O0683"/>
    <x v="150"/>
    <x v="3"/>
    <d v="2024-02-12T00:00:00"/>
    <x v="9"/>
    <x v="1"/>
    <n v="8174.09"/>
    <n v="12000"/>
    <n v="-3825.91"/>
    <n v="-46.805332"/>
  </r>
  <r>
    <s v="O0684"/>
    <x v="121"/>
    <x v="2"/>
    <d v="2024-09-28T00:00:00"/>
    <x v="2"/>
    <x v="3"/>
    <n v="17201.13"/>
    <n v="30000"/>
    <n v="-12798.87"/>
    <n v="-74.407146999999995"/>
  </r>
  <r>
    <s v="O0685"/>
    <x v="180"/>
    <x v="0"/>
    <d v="2024-04-13T00:00:00"/>
    <x v="3"/>
    <x v="1"/>
    <n v="19865.740000000002"/>
    <n v="12000"/>
    <n v="7865.74"/>
    <n v="39.594498000000002"/>
  </r>
  <r>
    <s v="O0686"/>
    <x v="123"/>
    <x v="1"/>
    <d v="2024-04-15T00:00:00"/>
    <x v="3"/>
    <x v="0"/>
    <n v="6588.56"/>
    <n v="500"/>
    <n v="6088.56"/>
    <n v="92.411088000000007"/>
  </r>
  <r>
    <s v="O0687"/>
    <x v="167"/>
    <x v="2"/>
    <d v="2024-09-26T00:00:00"/>
    <x v="2"/>
    <x v="2"/>
    <n v="25253.47"/>
    <n v="2000"/>
    <n v="23253.47"/>
    <n v="92.080296000000004"/>
  </r>
  <r>
    <s v="O0688"/>
    <x v="70"/>
    <x v="0"/>
    <d v="2024-03-22T00:00:00"/>
    <x v="1"/>
    <x v="0"/>
    <n v="32352.19"/>
    <n v="500"/>
    <n v="31852.19"/>
    <n v="98.454509999999999"/>
  </r>
  <r>
    <s v="O0689"/>
    <x v="28"/>
    <x v="1"/>
    <d v="2024-08-13T00:00:00"/>
    <x v="8"/>
    <x v="0"/>
    <n v="17386.52"/>
    <n v="500"/>
    <n v="16886.52"/>
    <n v="97.124208999999993"/>
  </r>
  <r>
    <s v="O0690"/>
    <x v="88"/>
    <x v="3"/>
    <d v="2024-10-13T00:00:00"/>
    <x v="0"/>
    <x v="1"/>
    <n v="18040.88"/>
    <n v="12000"/>
    <n v="6040.88"/>
    <n v="33.484397999999999"/>
  </r>
  <r>
    <s v="O0691"/>
    <x v="116"/>
    <x v="1"/>
    <d v="2024-10-14T00:00:00"/>
    <x v="0"/>
    <x v="3"/>
    <n v="19879.48"/>
    <n v="30000"/>
    <n v="-10120.52"/>
    <n v="-50.909379999999999"/>
  </r>
  <r>
    <s v="O0692"/>
    <x v="181"/>
    <x v="2"/>
    <d v="2024-12-08T00:00:00"/>
    <x v="11"/>
    <x v="0"/>
    <n v="22799.01"/>
    <n v="500"/>
    <n v="22299.01"/>
    <n v="97.806922"/>
  </r>
  <r>
    <s v="O0693"/>
    <x v="115"/>
    <x v="0"/>
    <d v="2024-02-02T00:00:00"/>
    <x v="9"/>
    <x v="1"/>
    <n v="32335.01"/>
    <n v="12000"/>
    <n v="20335.009999999998"/>
    <n v="62.888522000000002"/>
  </r>
  <r>
    <s v="O0694"/>
    <x v="135"/>
    <x v="1"/>
    <d v="2024-05-17T00:00:00"/>
    <x v="5"/>
    <x v="0"/>
    <n v="38488.339999999997"/>
    <n v="500"/>
    <n v="37988.339999999997"/>
    <n v="98.700905000000006"/>
  </r>
  <r>
    <s v="O0695"/>
    <x v="182"/>
    <x v="3"/>
    <d v="2024-09-01T00:00:00"/>
    <x v="2"/>
    <x v="3"/>
    <n v="47395.67"/>
    <n v="30000"/>
    <n v="17395.669999999998"/>
    <n v="36.703079000000002"/>
  </r>
  <r>
    <s v="O0696"/>
    <x v="3"/>
    <x v="0"/>
    <d v="2024-07-27T00:00:00"/>
    <x v="4"/>
    <x v="2"/>
    <n v="40445.42"/>
    <n v="2000"/>
    <n v="38445.42"/>
    <n v="95.055064000000002"/>
  </r>
  <r>
    <s v="O0697"/>
    <x v="24"/>
    <x v="3"/>
    <d v="2024-09-03T00:00:00"/>
    <x v="2"/>
    <x v="1"/>
    <n v="24355.67"/>
    <n v="12000"/>
    <n v="12355.67"/>
    <n v="50.730159"/>
  </r>
  <r>
    <s v="O0698"/>
    <x v="122"/>
    <x v="0"/>
    <d v="2024-06-21T00:00:00"/>
    <x v="6"/>
    <x v="1"/>
    <n v="30881.67"/>
    <n v="12000"/>
    <n v="18881.669999999998"/>
    <n v="61.141998000000001"/>
  </r>
  <r>
    <s v="O0699"/>
    <x v="135"/>
    <x v="1"/>
    <d v="2024-01-15T00:00:00"/>
    <x v="7"/>
    <x v="1"/>
    <n v="16538.439999999999"/>
    <n v="12000"/>
    <n v="4538.4399999999996"/>
    <n v="27.441766000000001"/>
  </r>
  <r>
    <s v="O0700"/>
    <x v="64"/>
    <x v="2"/>
    <d v="2024-06-24T00:00:00"/>
    <x v="6"/>
    <x v="3"/>
    <n v="24455.93"/>
    <n v="30000"/>
    <n v="-5544.07"/>
    <n v="-22.669635"/>
  </r>
  <r>
    <s v="O0701"/>
    <x v="12"/>
    <x v="2"/>
    <d v="2024-05-01T00:00:00"/>
    <x v="5"/>
    <x v="1"/>
    <n v="38164.26"/>
    <n v="12000"/>
    <n v="26164.26"/>
    <n v="68.556968999999995"/>
  </r>
  <r>
    <s v="O0702"/>
    <x v="57"/>
    <x v="3"/>
    <d v="2024-06-04T00:00:00"/>
    <x v="6"/>
    <x v="3"/>
    <n v="33995.43"/>
    <n v="30000"/>
    <n v="3995.43"/>
    <n v="11.752844"/>
  </r>
  <r>
    <s v="O0703"/>
    <x v="105"/>
    <x v="2"/>
    <d v="2024-02-10T00:00:00"/>
    <x v="9"/>
    <x v="0"/>
    <n v="3845.17"/>
    <n v="500"/>
    <n v="3345.17"/>
    <n v="86.996673999999999"/>
  </r>
  <r>
    <s v="O0704"/>
    <x v="181"/>
    <x v="2"/>
    <d v="2024-04-28T00:00:00"/>
    <x v="3"/>
    <x v="0"/>
    <n v="45237.49"/>
    <n v="500"/>
    <n v="44737.49"/>
    <n v="98.894722000000002"/>
  </r>
  <r>
    <s v="O0705"/>
    <x v="112"/>
    <x v="1"/>
    <d v="2024-12-09T00:00:00"/>
    <x v="11"/>
    <x v="1"/>
    <n v="25424.25"/>
    <n v="12000"/>
    <n v="13424.25"/>
    <n v="52.800967999999997"/>
  </r>
  <r>
    <s v="O0706"/>
    <x v="42"/>
    <x v="3"/>
    <d v="2024-09-20T00:00:00"/>
    <x v="2"/>
    <x v="2"/>
    <n v="42561.29"/>
    <n v="2000"/>
    <n v="40561.29"/>
    <n v="95.300894"/>
  </r>
  <r>
    <s v="O0707"/>
    <x v="133"/>
    <x v="2"/>
    <d v="2024-03-03T00:00:00"/>
    <x v="1"/>
    <x v="1"/>
    <n v="34310.65"/>
    <n v="12000"/>
    <n v="22310.65"/>
    <n v="65.025436999999997"/>
  </r>
  <r>
    <s v="O0708"/>
    <x v="134"/>
    <x v="3"/>
    <d v="2024-04-17T00:00:00"/>
    <x v="3"/>
    <x v="2"/>
    <n v="50316.78"/>
    <n v="2000"/>
    <n v="48316.78"/>
    <n v="96.025182999999998"/>
  </r>
  <r>
    <s v="O0709"/>
    <x v="33"/>
    <x v="1"/>
    <d v="2024-08-29T00:00:00"/>
    <x v="8"/>
    <x v="1"/>
    <n v="14263.47"/>
    <n v="12000"/>
    <n v="2263.4699999999998"/>
    <n v="15.869"/>
  </r>
  <r>
    <s v="O0710"/>
    <x v="185"/>
    <x v="2"/>
    <d v="2024-04-27T00:00:00"/>
    <x v="3"/>
    <x v="0"/>
    <n v="46148.800000000003"/>
    <n v="500"/>
    <n v="45648.800000000003"/>
    <n v="98.916548000000006"/>
  </r>
  <r>
    <s v="O0711"/>
    <x v="111"/>
    <x v="0"/>
    <d v="2024-07-28T00:00:00"/>
    <x v="4"/>
    <x v="1"/>
    <n v="37950.85"/>
    <n v="12000"/>
    <n v="25950.85"/>
    <n v="68.380155000000002"/>
  </r>
  <r>
    <s v="O0712"/>
    <x v="140"/>
    <x v="3"/>
    <d v="2024-07-17T00:00:00"/>
    <x v="4"/>
    <x v="2"/>
    <n v="47847.47"/>
    <n v="2000"/>
    <n v="45847.47"/>
    <n v="95.820051000000007"/>
  </r>
  <r>
    <s v="O0713"/>
    <x v="36"/>
    <x v="3"/>
    <d v="2024-12-20T00:00:00"/>
    <x v="11"/>
    <x v="2"/>
    <n v="37468.339999999997"/>
    <n v="2000"/>
    <n v="35468.339999999997"/>
    <n v="94.66216"/>
  </r>
  <r>
    <s v="O0714"/>
    <x v="35"/>
    <x v="0"/>
    <d v="2024-03-25T00:00:00"/>
    <x v="1"/>
    <x v="3"/>
    <n v="23364.49"/>
    <n v="30000"/>
    <n v="-6635.51"/>
    <n v="-28.399978000000001"/>
  </r>
  <r>
    <s v="O0715"/>
    <x v="7"/>
    <x v="1"/>
    <d v="2024-03-21T00:00:00"/>
    <x v="1"/>
    <x v="1"/>
    <n v="42320.46"/>
    <n v="12000"/>
    <n v="30320.46"/>
    <n v="71.644920999999997"/>
  </r>
  <r>
    <s v="O0716"/>
    <x v="52"/>
    <x v="1"/>
    <d v="2024-09-09T00:00:00"/>
    <x v="2"/>
    <x v="2"/>
    <n v="29613.31"/>
    <n v="2000"/>
    <n v="27613.31"/>
    <n v="93.246279999999999"/>
  </r>
  <r>
    <s v="O0717"/>
    <x v="58"/>
    <x v="1"/>
    <d v="2024-01-21T00:00:00"/>
    <x v="7"/>
    <x v="0"/>
    <n v="30267.14"/>
    <n v="500"/>
    <n v="29767.14"/>
    <n v="98.348043000000004"/>
  </r>
  <r>
    <s v="O0718"/>
    <x v="123"/>
    <x v="1"/>
    <d v="2024-11-24T00:00:00"/>
    <x v="10"/>
    <x v="3"/>
    <n v="32500.47"/>
    <n v="30000"/>
    <n v="2500.4699999999998"/>
    <n v="7.6936429999999998"/>
  </r>
  <r>
    <s v="O0719"/>
    <x v="182"/>
    <x v="3"/>
    <d v="2024-04-11T00:00:00"/>
    <x v="3"/>
    <x v="3"/>
    <n v="17774.05"/>
    <n v="30000"/>
    <n v="-12225.95"/>
    <n v="-68.785392000000002"/>
  </r>
  <r>
    <s v="O0720"/>
    <x v="106"/>
    <x v="2"/>
    <d v="2024-03-22T00:00:00"/>
    <x v="1"/>
    <x v="0"/>
    <n v="3609.02"/>
    <n v="500"/>
    <n v="3109.02"/>
    <n v="86.145824000000005"/>
  </r>
  <r>
    <s v="O0721"/>
    <x v="17"/>
    <x v="2"/>
    <d v="2024-06-22T00:00:00"/>
    <x v="6"/>
    <x v="0"/>
    <n v="38714.44"/>
    <n v="500"/>
    <n v="38214.44"/>
    <n v="98.708492000000007"/>
  </r>
  <r>
    <s v="O0722"/>
    <x v="5"/>
    <x v="0"/>
    <d v="2024-04-25T00:00:00"/>
    <x v="3"/>
    <x v="0"/>
    <n v="11306.19"/>
    <n v="500"/>
    <n v="10806.19"/>
    <n v="95.577644000000006"/>
  </r>
  <r>
    <s v="O0723"/>
    <x v="22"/>
    <x v="1"/>
    <d v="2024-08-05T00:00:00"/>
    <x v="8"/>
    <x v="3"/>
    <n v="3525.29"/>
    <n v="30000"/>
    <n v="-26474.71"/>
    <n v="-750.99381900000003"/>
  </r>
  <r>
    <s v="O0724"/>
    <x v="84"/>
    <x v="3"/>
    <d v="2024-07-27T00:00:00"/>
    <x v="4"/>
    <x v="1"/>
    <n v="36904.67"/>
    <n v="12000"/>
    <n v="24904.67"/>
    <n v="67.483789999999999"/>
  </r>
  <r>
    <s v="O0725"/>
    <x v="26"/>
    <x v="3"/>
    <d v="2024-11-18T00:00:00"/>
    <x v="10"/>
    <x v="1"/>
    <n v="12236.68"/>
    <n v="12000"/>
    <n v="236.68"/>
    <n v="1.934185"/>
  </r>
  <r>
    <s v="O0726"/>
    <x v="107"/>
    <x v="0"/>
    <d v="2024-05-27T00:00:00"/>
    <x v="5"/>
    <x v="2"/>
    <n v="15772.54"/>
    <n v="2000"/>
    <n v="13772.54"/>
    <n v="87.319733999999997"/>
  </r>
  <r>
    <s v="O0727"/>
    <x v="163"/>
    <x v="2"/>
    <d v="2024-10-08T00:00:00"/>
    <x v="0"/>
    <x v="1"/>
    <n v="25487.7"/>
    <n v="12000"/>
    <n v="13487.7"/>
    <n v="52.918467"/>
  </r>
  <r>
    <s v="O0728"/>
    <x v="4"/>
    <x v="0"/>
    <d v="2024-07-22T00:00:00"/>
    <x v="4"/>
    <x v="3"/>
    <n v="46135.29"/>
    <n v="30000"/>
    <n v="16135.29"/>
    <n v="34.973855999999998"/>
  </r>
  <r>
    <s v="O0729"/>
    <x v="57"/>
    <x v="3"/>
    <d v="2024-12-05T00:00:00"/>
    <x v="11"/>
    <x v="2"/>
    <n v="40539.89"/>
    <n v="2000"/>
    <n v="38539.89"/>
    <n v="95.066587999999996"/>
  </r>
  <r>
    <s v="O0730"/>
    <x v="14"/>
    <x v="2"/>
    <d v="2024-08-18T00:00:00"/>
    <x v="8"/>
    <x v="2"/>
    <n v="19969.3"/>
    <n v="2000"/>
    <n v="17969.3"/>
    <n v="89.984626000000006"/>
  </r>
  <r>
    <s v="O0731"/>
    <x v="109"/>
    <x v="1"/>
    <d v="2024-08-09T00:00:00"/>
    <x v="8"/>
    <x v="0"/>
    <n v="38030.339999999997"/>
    <n v="500"/>
    <n v="37530.339999999997"/>
    <n v="98.68526"/>
  </r>
  <r>
    <s v="O0732"/>
    <x v="73"/>
    <x v="3"/>
    <d v="2024-12-23T00:00:00"/>
    <x v="11"/>
    <x v="1"/>
    <n v="26712.07"/>
    <n v="12000"/>
    <n v="14712.07"/>
    <n v="55.076487999999998"/>
  </r>
  <r>
    <s v="O0733"/>
    <x v="41"/>
    <x v="1"/>
    <d v="2024-04-08T00:00:00"/>
    <x v="3"/>
    <x v="0"/>
    <n v="43429.01"/>
    <n v="500"/>
    <n v="42929.01"/>
    <n v="98.848696000000004"/>
  </r>
  <r>
    <s v="O0734"/>
    <x v="132"/>
    <x v="2"/>
    <d v="2024-11-30T00:00:00"/>
    <x v="10"/>
    <x v="0"/>
    <n v="1263.96"/>
    <n v="500"/>
    <n v="763.96"/>
    <n v="60.441786"/>
  </r>
  <r>
    <s v="O0735"/>
    <x v="62"/>
    <x v="2"/>
    <d v="2024-07-08T00:00:00"/>
    <x v="4"/>
    <x v="1"/>
    <n v="45586.36"/>
    <n v="12000"/>
    <n v="33586.36"/>
    <n v="73.676337000000004"/>
  </r>
  <r>
    <s v="O0736"/>
    <x v="113"/>
    <x v="2"/>
    <d v="2024-03-30T00:00:00"/>
    <x v="1"/>
    <x v="0"/>
    <n v="17240.45"/>
    <n v="500"/>
    <n v="16740.45"/>
    <n v="97.099844000000004"/>
  </r>
  <r>
    <s v="O0737"/>
    <x v="197"/>
    <x v="1"/>
    <d v="2024-02-04T00:00:00"/>
    <x v="9"/>
    <x v="3"/>
    <n v="36674.660000000003"/>
    <n v="30000"/>
    <n v="6674.66"/>
    <n v="18.199650999999999"/>
  </r>
  <r>
    <s v="O0738"/>
    <x v="105"/>
    <x v="2"/>
    <d v="2024-08-04T00:00:00"/>
    <x v="8"/>
    <x v="1"/>
    <n v="40194.82"/>
    <n v="12000"/>
    <n v="28194.82"/>
    <n v="70.145407000000006"/>
  </r>
  <r>
    <s v="O0739"/>
    <x v="87"/>
    <x v="2"/>
    <d v="2024-08-06T00:00:00"/>
    <x v="8"/>
    <x v="0"/>
    <n v="9916.02"/>
    <n v="500"/>
    <n v="9416.02"/>
    <n v="94.957654000000005"/>
  </r>
  <r>
    <s v="O0740"/>
    <x v="17"/>
    <x v="2"/>
    <d v="2024-04-02T00:00:00"/>
    <x v="3"/>
    <x v="2"/>
    <n v="43284.19"/>
    <n v="2000"/>
    <n v="41284.19"/>
    <n v="95.379374999999996"/>
  </r>
  <r>
    <s v="O0741"/>
    <x v="119"/>
    <x v="3"/>
    <d v="2024-08-06T00:00:00"/>
    <x v="8"/>
    <x v="3"/>
    <n v="19084.560000000001"/>
    <n v="30000"/>
    <n v="-10915.44"/>
    <n v="-57.195135999999998"/>
  </r>
  <r>
    <s v="O0742"/>
    <x v="174"/>
    <x v="3"/>
    <d v="2024-02-11T00:00:00"/>
    <x v="9"/>
    <x v="2"/>
    <n v="16171.25"/>
    <n v="2000"/>
    <n v="14171.25"/>
    <n v="87.632372000000004"/>
  </r>
  <r>
    <s v="O0743"/>
    <x v="139"/>
    <x v="0"/>
    <d v="2024-10-10T00:00:00"/>
    <x v="0"/>
    <x v="3"/>
    <n v="49543.360000000001"/>
    <n v="30000"/>
    <n v="19543.36"/>
    <n v="39.446981000000001"/>
  </r>
  <r>
    <s v="O0744"/>
    <x v="100"/>
    <x v="2"/>
    <d v="2024-01-21T00:00:00"/>
    <x v="7"/>
    <x v="1"/>
    <n v="31337.58"/>
    <n v="12000"/>
    <n v="19337.580000000002"/>
    <n v="61.707318000000001"/>
  </r>
  <r>
    <s v="O0745"/>
    <x v="95"/>
    <x v="2"/>
    <d v="2024-01-10T00:00:00"/>
    <x v="7"/>
    <x v="1"/>
    <n v="18391.79"/>
    <n v="12000"/>
    <n v="6391.79"/>
    <n v="34.753495999999998"/>
  </r>
  <r>
    <s v="O0746"/>
    <x v="160"/>
    <x v="0"/>
    <d v="2024-11-20T00:00:00"/>
    <x v="10"/>
    <x v="2"/>
    <n v="47366.97"/>
    <n v="2000"/>
    <n v="45366.97"/>
    <n v="95.777647999999999"/>
  </r>
  <r>
    <s v="O0747"/>
    <x v="73"/>
    <x v="3"/>
    <d v="2024-06-08T00:00:00"/>
    <x v="6"/>
    <x v="0"/>
    <n v="31573.67"/>
    <n v="500"/>
    <n v="31073.67"/>
    <n v="98.416402000000005"/>
  </r>
  <r>
    <s v="O0748"/>
    <x v="88"/>
    <x v="3"/>
    <d v="2024-01-31T00:00:00"/>
    <x v="7"/>
    <x v="0"/>
    <n v="45492.38"/>
    <n v="500"/>
    <n v="44992.38"/>
    <n v="98.900914999999998"/>
  </r>
  <r>
    <s v="O0749"/>
    <x v="101"/>
    <x v="3"/>
    <d v="2024-08-24T00:00:00"/>
    <x v="8"/>
    <x v="3"/>
    <n v="13360.55"/>
    <n v="30000"/>
    <n v="-16639.45"/>
    <n v="-124.54165399999999"/>
  </r>
  <r>
    <s v="O0750"/>
    <x v="182"/>
    <x v="3"/>
    <d v="2024-07-26T00:00:00"/>
    <x v="4"/>
    <x v="2"/>
    <n v="36658.47"/>
    <n v="2000"/>
    <n v="34658.47"/>
    <n v="94.544235"/>
  </r>
  <r>
    <s v="O0751"/>
    <x v="31"/>
    <x v="1"/>
    <d v="2024-06-06T00:00:00"/>
    <x v="6"/>
    <x v="1"/>
    <n v="9138.31"/>
    <n v="12000"/>
    <n v="-2861.69"/>
    <n v="-31.315308999999999"/>
  </r>
  <r>
    <s v="O0752"/>
    <x v="168"/>
    <x v="0"/>
    <d v="2024-01-19T00:00:00"/>
    <x v="7"/>
    <x v="3"/>
    <n v="5499.87"/>
    <n v="30000"/>
    <n v="-24500.13"/>
    <n v="-445.46743800000002"/>
  </r>
  <r>
    <s v="O0753"/>
    <x v="186"/>
    <x v="3"/>
    <d v="2024-03-11T00:00:00"/>
    <x v="1"/>
    <x v="2"/>
    <n v="26206.9"/>
    <n v="2000"/>
    <n v="24206.9"/>
    <n v="92.368421999999995"/>
  </r>
  <r>
    <s v="O0754"/>
    <x v="62"/>
    <x v="2"/>
    <d v="2024-01-10T00:00:00"/>
    <x v="7"/>
    <x v="3"/>
    <n v="3214.14"/>
    <n v="30000"/>
    <n v="-26785.86"/>
    <n v="-833.37564599999996"/>
  </r>
  <r>
    <s v="O0755"/>
    <x v="6"/>
    <x v="0"/>
    <d v="2024-05-31T00:00:00"/>
    <x v="5"/>
    <x v="2"/>
    <n v="7086.59"/>
    <n v="2000"/>
    <n v="5086.59"/>
    <n v="71.777681999999999"/>
  </r>
  <r>
    <s v="O0756"/>
    <x v="129"/>
    <x v="1"/>
    <d v="2024-12-27T00:00:00"/>
    <x v="11"/>
    <x v="2"/>
    <n v="6192.27"/>
    <n v="2000"/>
    <n v="4192.2700000000004"/>
    <n v="67.701667"/>
  </r>
  <r>
    <s v="O0757"/>
    <x v="147"/>
    <x v="3"/>
    <d v="2024-01-27T00:00:00"/>
    <x v="7"/>
    <x v="2"/>
    <n v="46057.65"/>
    <n v="2000"/>
    <n v="44057.65"/>
    <n v="95.657616000000004"/>
  </r>
  <r>
    <s v="O0758"/>
    <x v="136"/>
    <x v="3"/>
    <d v="2024-04-13T00:00:00"/>
    <x v="3"/>
    <x v="1"/>
    <n v="14817.92"/>
    <n v="12000"/>
    <n v="2817.92"/>
    <n v="19.016974000000001"/>
  </r>
  <r>
    <s v="O0759"/>
    <x v="143"/>
    <x v="2"/>
    <d v="2024-12-17T00:00:00"/>
    <x v="11"/>
    <x v="3"/>
    <n v="48927.08"/>
    <n v="30000"/>
    <n v="18927.080000000002"/>
    <n v="38.684261999999997"/>
  </r>
  <r>
    <s v="O0760"/>
    <x v="87"/>
    <x v="2"/>
    <d v="2024-09-06T00:00:00"/>
    <x v="2"/>
    <x v="3"/>
    <n v="1197.07"/>
    <n v="30000"/>
    <n v="-28802.93"/>
    <n v="-2406.119107"/>
  </r>
  <r>
    <s v="O0761"/>
    <x v="78"/>
    <x v="2"/>
    <d v="2024-04-27T00:00:00"/>
    <x v="3"/>
    <x v="3"/>
    <n v="10896.37"/>
    <n v="30000"/>
    <n v="-19103.63"/>
    <n v="-175.32104699999999"/>
  </r>
  <r>
    <s v="O0762"/>
    <x v="106"/>
    <x v="2"/>
    <d v="2024-04-12T00:00:00"/>
    <x v="3"/>
    <x v="3"/>
    <n v="15759.54"/>
    <n v="30000"/>
    <n v="-14240.46"/>
    <n v="-90.360885999999994"/>
  </r>
  <r>
    <s v="O0763"/>
    <x v="79"/>
    <x v="2"/>
    <d v="2024-11-06T00:00:00"/>
    <x v="10"/>
    <x v="1"/>
    <n v="32001.03"/>
    <n v="12000"/>
    <n v="20001.03"/>
    <n v="62.501207000000001"/>
  </r>
  <r>
    <s v="O0764"/>
    <x v="57"/>
    <x v="3"/>
    <d v="2024-01-14T00:00:00"/>
    <x v="7"/>
    <x v="3"/>
    <n v="6446.9"/>
    <n v="30000"/>
    <n v="-23553.1"/>
    <n v="-365.33993099999998"/>
  </r>
  <r>
    <s v="O0765"/>
    <x v="193"/>
    <x v="0"/>
    <d v="2024-02-09T00:00:00"/>
    <x v="9"/>
    <x v="2"/>
    <n v="17426.650000000001"/>
    <n v="2000"/>
    <n v="15426.65"/>
    <n v="88.523325"/>
  </r>
  <r>
    <s v="O0766"/>
    <x v="128"/>
    <x v="2"/>
    <d v="2024-10-12T00:00:00"/>
    <x v="0"/>
    <x v="2"/>
    <n v="22213.46"/>
    <n v="2000"/>
    <n v="20213.46"/>
    <n v="90.996449999999996"/>
  </r>
  <r>
    <s v="O0767"/>
    <x v="188"/>
    <x v="2"/>
    <d v="2024-07-07T00:00:00"/>
    <x v="4"/>
    <x v="0"/>
    <n v="14680.07"/>
    <n v="500"/>
    <n v="14180.07"/>
    <n v="96.594021999999995"/>
  </r>
  <r>
    <s v="O0768"/>
    <x v="38"/>
    <x v="2"/>
    <d v="2024-03-07T00:00:00"/>
    <x v="1"/>
    <x v="2"/>
    <n v="39727.75"/>
    <n v="2000"/>
    <n v="37727.75"/>
    <n v="94.965736000000007"/>
  </r>
  <r>
    <s v="O0769"/>
    <x v="22"/>
    <x v="1"/>
    <d v="2024-07-22T00:00:00"/>
    <x v="4"/>
    <x v="0"/>
    <n v="15671.65"/>
    <n v="500"/>
    <n v="15171.65"/>
    <n v="96.809524999999994"/>
  </r>
  <r>
    <s v="O0770"/>
    <x v="80"/>
    <x v="0"/>
    <d v="2024-02-02T00:00:00"/>
    <x v="9"/>
    <x v="3"/>
    <n v="46342.92"/>
    <n v="30000"/>
    <n v="16342.92"/>
    <n v="35.265192999999996"/>
  </r>
  <r>
    <s v="O0771"/>
    <x v="175"/>
    <x v="1"/>
    <d v="2024-07-01T00:00:00"/>
    <x v="4"/>
    <x v="2"/>
    <n v="32104.54"/>
    <n v="2000"/>
    <n v="30104.54"/>
    <n v="93.770351000000005"/>
  </r>
  <r>
    <s v="O0772"/>
    <x v="107"/>
    <x v="0"/>
    <d v="2024-09-07T00:00:00"/>
    <x v="2"/>
    <x v="0"/>
    <n v="27368.11"/>
    <n v="500"/>
    <n v="26868.11"/>
    <n v="98.173056000000003"/>
  </r>
  <r>
    <s v="O0773"/>
    <x v="115"/>
    <x v="0"/>
    <d v="2024-05-02T00:00:00"/>
    <x v="5"/>
    <x v="2"/>
    <n v="1054.53"/>
    <n v="2000"/>
    <n v="-945.47"/>
    <n v="-89.657951999999995"/>
  </r>
  <r>
    <s v="O0774"/>
    <x v="188"/>
    <x v="2"/>
    <d v="2024-04-06T00:00:00"/>
    <x v="3"/>
    <x v="2"/>
    <n v="39481.620000000003"/>
    <n v="2000"/>
    <n v="37481.620000000003"/>
    <n v="94.934352000000004"/>
  </r>
  <r>
    <s v="O0775"/>
    <x v="91"/>
    <x v="2"/>
    <d v="2024-12-13T00:00:00"/>
    <x v="11"/>
    <x v="1"/>
    <n v="13634.84"/>
    <n v="12000"/>
    <n v="1634.84"/>
    <n v="11.990166"/>
  </r>
  <r>
    <s v="O0776"/>
    <x v="196"/>
    <x v="3"/>
    <d v="2024-01-09T00:00:00"/>
    <x v="7"/>
    <x v="0"/>
    <n v="1863.4"/>
    <n v="500"/>
    <n v="1363.4"/>
    <n v="73.167328999999995"/>
  </r>
  <r>
    <s v="O0777"/>
    <x v="27"/>
    <x v="2"/>
    <d v="2024-07-20T00:00:00"/>
    <x v="4"/>
    <x v="0"/>
    <n v="19750.060000000001"/>
    <n v="500"/>
    <n v="19250.060000000001"/>
    <n v="97.468361999999999"/>
  </r>
  <r>
    <s v="O0778"/>
    <x v="157"/>
    <x v="3"/>
    <d v="2024-03-12T00:00:00"/>
    <x v="1"/>
    <x v="0"/>
    <n v="13030.51"/>
    <n v="500"/>
    <n v="12530.51"/>
    <n v="96.162852000000001"/>
  </r>
  <r>
    <s v="O0779"/>
    <x v="131"/>
    <x v="3"/>
    <d v="2024-11-27T00:00:00"/>
    <x v="10"/>
    <x v="2"/>
    <n v="5233.3"/>
    <n v="2000"/>
    <n v="3233.3"/>
    <n v="61.783195999999997"/>
  </r>
  <r>
    <s v="O0780"/>
    <x v="30"/>
    <x v="0"/>
    <d v="2024-10-30T00:00:00"/>
    <x v="0"/>
    <x v="3"/>
    <n v="37200.800000000003"/>
    <n v="30000"/>
    <n v="7200.8"/>
    <n v="19.356573000000001"/>
  </r>
  <r>
    <s v="O0781"/>
    <x v="113"/>
    <x v="2"/>
    <d v="2024-07-12T00:00:00"/>
    <x v="4"/>
    <x v="1"/>
    <n v="33983.879999999997"/>
    <n v="12000"/>
    <n v="21983.88"/>
    <n v="64.689141000000006"/>
  </r>
  <r>
    <s v="O0782"/>
    <x v="117"/>
    <x v="3"/>
    <d v="2024-12-25T00:00:00"/>
    <x v="11"/>
    <x v="3"/>
    <n v="20925.27"/>
    <n v="30000"/>
    <n v="-9074.73"/>
    <n v="-43.367325999999998"/>
  </r>
  <r>
    <s v="O0783"/>
    <x v="143"/>
    <x v="2"/>
    <d v="2024-12-15T00:00:00"/>
    <x v="11"/>
    <x v="3"/>
    <n v="41187.040000000001"/>
    <n v="30000"/>
    <n v="11187.04"/>
    <n v="27.161553999999999"/>
  </r>
  <r>
    <s v="O0784"/>
    <x v="14"/>
    <x v="2"/>
    <d v="2024-03-15T00:00:00"/>
    <x v="1"/>
    <x v="2"/>
    <n v="549.67999999999995"/>
    <n v="2000"/>
    <n v="-1450.32"/>
    <n v="-263.84805699999998"/>
  </r>
  <r>
    <s v="O0785"/>
    <x v="120"/>
    <x v="2"/>
    <d v="2024-07-23T00:00:00"/>
    <x v="4"/>
    <x v="1"/>
    <n v="36834.949999999997"/>
    <n v="12000"/>
    <n v="24834.95"/>
    <n v="67.422244000000006"/>
  </r>
  <r>
    <s v="O0786"/>
    <x v="99"/>
    <x v="1"/>
    <d v="2024-06-16T00:00:00"/>
    <x v="6"/>
    <x v="3"/>
    <n v="32472.85"/>
    <n v="30000"/>
    <n v="2472.85"/>
    <n v="7.6151309999999999"/>
  </r>
  <r>
    <s v="O0787"/>
    <x v="54"/>
    <x v="3"/>
    <d v="2024-06-27T00:00:00"/>
    <x v="6"/>
    <x v="1"/>
    <n v="31065.599999999999"/>
    <n v="12000"/>
    <n v="19065.599999999999"/>
    <n v="61.372064000000002"/>
  </r>
  <r>
    <s v="O0788"/>
    <x v="102"/>
    <x v="0"/>
    <d v="2024-08-29T00:00:00"/>
    <x v="8"/>
    <x v="2"/>
    <n v="15360.28"/>
    <n v="2000"/>
    <n v="13360.28"/>
    <n v="86.979404000000002"/>
  </r>
  <r>
    <s v="O0789"/>
    <x v="26"/>
    <x v="3"/>
    <d v="2024-11-12T00:00:00"/>
    <x v="10"/>
    <x v="1"/>
    <n v="41980.78"/>
    <n v="12000"/>
    <n v="29980.78"/>
    <n v="71.415491000000003"/>
  </r>
  <r>
    <s v="O0790"/>
    <x v="56"/>
    <x v="1"/>
    <d v="2024-12-13T00:00:00"/>
    <x v="11"/>
    <x v="0"/>
    <n v="23598.91"/>
    <n v="500"/>
    <n v="23098.91"/>
    <n v="97.881258000000003"/>
  </r>
  <r>
    <s v="O0791"/>
    <x v="95"/>
    <x v="2"/>
    <d v="2024-11-28T00:00:00"/>
    <x v="10"/>
    <x v="0"/>
    <n v="41563"/>
    <n v="500"/>
    <n v="41063"/>
    <n v="98.797006999999994"/>
  </r>
  <r>
    <s v="O0792"/>
    <x v="46"/>
    <x v="3"/>
    <d v="2024-12-01T00:00:00"/>
    <x v="11"/>
    <x v="1"/>
    <n v="5392.1"/>
    <n v="12000"/>
    <n v="-6607.9"/>
    <n v="-122.54780100000001"/>
  </r>
  <r>
    <s v="O0793"/>
    <x v="13"/>
    <x v="2"/>
    <d v="2024-10-17T00:00:00"/>
    <x v="0"/>
    <x v="3"/>
    <n v="38046.620000000003"/>
    <n v="30000"/>
    <n v="8046.62"/>
    <n v="21.149369"/>
  </r>
  <r>
    <s v="O0794"/>
    <x v="173"/>
    <x v="2"/>
    <d v="2024-04-15T00:00:00"/>
    <x v="3"/>
    <x v="3"/>
    <n v="42981.62"/>
    <n v="30000"/>
    <n v="12981.62"/>
    <n v="30.202724"/>
  </r>
  <r>
    <s v="O0795"/>
    <x v="21"/>
    <x v="2"/>
    <d v="2024-04-07T00:00:00"/>
    <x v="3"/>
    <x v="2"/>
    <n v="37069.339999999997"/>
    <n v="2000"/>
    <n v="35069.339999999997"/>
    <n v="94.604705999999993"/>
  </r>
  <r>
    <s v="O0796"/>
    <x v="77"/>
    <x v="0"/>
    <d v="2024-10-18T00:00:00"/>
    <x v="0"/>
    <x v="2"/>
    <n v="17242.71"/>
    <n v="2000"/>
    <n v="15242.71"/>
    <n v="88.400895000000006"/>
  </r>
  <r>
    <s v="O0797"/>
    <x v="71"/>
    <x v="3"/>
    <d v="2024-10-25T00:00:00"/>
    <x v="0"/>
    <x v="2"/>
    <n v="9649.2000000000007"/>
    <n v="2000"/>
    <n v="7649.2"/>
    <n v="79.272892999999996"/>
  </r>
  <r>
    <s v="O0798"/>
    <x v="78"/>
    <x v="2"/>
    <d v="2024-08-09T00:00:00"/>
    <x v="8"/>
    <x v="2"/>
    <n v="27093.32"/>
    <n v="2000"/>
    <n v="25093.32"/>
    <n v="92.618106999999995"/>
  </r>
  <r>
    <s v="O0799"/>
    <x v="30"/>
    <x v="0"/>
    <d v="2024-04-03T00:00:00"/>
    <x v="3"/>
    <x v="1"/>
    <n v="2397.7800000000002"/>
    <n v="12000"/>
    <n v="-9602.2199999999993"/>
    <n v="-400.46292799999998"/>
  </r>
  <r>
    <s v="O0800"/>
    <x v="85"/>
    <x v="3"/>
    <d v="2024-10-09T00:00:00"/>
    <x v="0"/>
    <x v="2"/>
    <n v="37551.050000000003"/>
    <n v="2000"/>
    <n v="35551.050000000003"/>
    <n v="94.673917000000003"/>
  </r>
  <r>
    <s v="O0801"/>
    <x v="96"/>
    <x v="3"/>
    <d v="2024-12-23T00:00:00"/>
    <x v="11"/>
    <x v="2"/>
    <n v="39645.17"/>
    <n v="2000"/>
    <n v="37645.17"/>
    <n v="94.955248999999995"/>
  </r>
  <r>
    <s v="O0802"/>
    <x v="140"/>
    <x v="3"/>
    <d v="2024-06-26T00:00:00"/>
    <x v="6"/>
    <x v="3"/>
    <n v="36222.589999999997"/>
    <n v="30000"/>
    <n v="6222.59"/>
    <n v="17.178754999999999"/>
  </r>
  <r>
    <s v="O0803"/>
    <x v="71"/>
    <x v="3"/>
    <d v="2024-05-02T00:00:00"/>
    <x v="5"/>
    <x v="3"/>
    <n v="29046"/>
    <n v="30000"/>
    <n v="-954"/>
    <n v="-3.2844449999999998"/>
  </r>
  <r>
    <s v="O0804"/>
    <x v="14"/>
    <x v="2"/>
    <d v="2024-08-20T00:00:00"/>
    <x v="8"/>
    <x v="2"/>
    <n v="25268.2"/>
    <n v="2000"/>
    <n v="23268.2"/>
    <n v="92.084913"/>
  </r>
  <r>
    <s v="O0805"/>
    <x v="104"/>
    <x v="1"/>
    <d v="2024-02-24T00:00:00"/>
    <x v="9"/>
    <x v="2"/>
    <n v="46912.49"/>
    <n v="2000"/>
    <n v="44912.49"/>
    <n v="95.736743000000004"/>
  </r>
  <r>
    <s v="O0806"/>
    <x v="33"/>
    <x v="1"/>
    <d v="2024-08-05T00:00:00"/>
    <x v="8"/>
    <x v="3"/>
    <n v="40258.269999999997"/>
    <n v="30000"/>
    <n v="10258.27"/>
    <n v="25.48115"/>
  </r>
  <r>
    <s v="O0807"/>
    <x v="64"/>
    <x v="2"/>
    <d v="2024-11-02T00:00:00"/>
    <x v="10"/>
    <x v="0"/>
    <n v="15709.24"/>
    <n v="500"/>
    <n v="15209.24"/>
    <n v="96.817160000000001"/>
  </r>
  <r>
    <s v="O0808"/>
    <x v="67"/>
    <x v="0"/>
    <d v="2024-04-08T00:00:00"/>
    <x v="3"/>
    <x v="2"/>
    <n v="22866.63"/>
    <n v="2000"/>
    <n v="20866.63"/>
    <n v="91.253630000000001"/>
  </r>
  <r>
    <s v="O0809"/>
    <x v="28"/>
    <x v="1"/>
    <d v="2024-07-19T00:00:00"/>
    <x v="4"/>
    <x v="2"/>
    <n v="45430.17"/>
    <n v="2000"/>
    <n v="43430.17"/>
    <n v="95.597639000000001"/>
  </r>
  <r>
    <s v="O0810"/>
    <x v="96"/>
    <x v="3"/>
    <d v="2024-09-14T00:00:00"/>
    <x v="2"/>
    <x v="3"/>
    <n v="37412.57"/>
    <n v="30000"/>
    <n v="7412.57"/>
    <n v="19.813047000000001"/>
  </r>
  <r>
    <s v="O0811"/>
    <x v="174"/>
    <x v="3"/>
    <d v="2024-11-06T00:00:00"/>
    <x v="10"/>
    <x v="3"/>
    <n v="28513.599999999999"/>
    <n v="30000"/>
    <n v="-1486.4"/>
    <n v="-5.2129510000000003"/>
  </r>
  <r>
    <s v="O0812"/>
    <x v="119"/>
    <x v="3"/>
    <d v="2024-07-15T00:00:00"/>
    <x v="4"/>
    <x v="2"/>
    <n v="812.05"/>
    <n v="2000"/>
    <n v="-1187.95"/>
    <n v="-146.29025300000001"/>
  </r>
  <r>
    <s v="O0813"/>
    <x v="181"/>
    <x v="2"/>
    <d v="2024-10-30T00:00:00"/>
    <x v="0"/>
    <x v="1"/>
    <n v="3465.09"/>
    <n v="12000"/>
    <n v="-8534.91"/>
    <n v="-246.311351"/>
  </r>
  <r>
    <s v="O0814"/>
    <x v="100"/>
    <x v="2"/>
    <d v="2024-02-12T00:00:00"/>
    <x v="9"/>
    <x v="2"/>
    <n v="48176.13"/>
    <n v="2000"/>
    <n v="46176.13"/>
    <n v="95.848566000000005"/>
  </r>
  <r>
    <s v="O0815"/>
    <x v="37"/>
    <x v="3"/>
    <d v="2024-12-13T00:00:00"/>
    <x v="11"/>
    <x v="2"/>
    <n v="2281.58"/>
    <n v="2000"/>
    <n v="281.58"/>
    <n v="12.341448"/>
  </r>
  <r>
    <s v="O0816"/>
    <x v="36"/>
    <x v="3"/>
    <d v="2024-03-14T00:00:00"/>
    <x v="1"/>
    <x v="2"/>
    <n v="43032.1"/>
    <n v="2000"/>
    <n v="41032.1"/>
    <n v="95.352306999999996"/>
  </r>
  <r>
    <s v="O0817"/>
    <x v="50"/>
    <x v="2"/>
    <d v="2024-03-11T00:00:00"/>
    <x v="1"/>
    <x v="0"/>
    <n v="2423.4899999999998"/>
    <n v="500"/>
    <n v="1923.49"/>
    <n v="79.368596999999994"/>
  </r>
  <r>
    <s v="O0818"/>
    <x v="0"/>
    <x v="0"/>
    <d v="2024-09-22T00:00:00"/>
    <x v="2"/>
    <x v="2"/>
    <n v="2344.37"/>
    <n v="2000"/>
    <n v="344.37"/>
    <n v="14.689234000000001"/>
  </r>
  <r>
    <s v="O0819"/>
    <x v="177"/>
    <x v="2"/>
    <d v="2024-12-17T00:00:00"/>
    <x v="11"/>
    <x v="1"/>
    <n v="3534.94"/>
    <n v="12000"/>
    <n v="-8465.06"/>
    <n v="-239.46827999999999"/>
  </r>
  <r>
    <s v="O0820"/>
    <x v="172"/>
    <x v="3"/>
    <d v="2024-12-26T00:00:00"/>
    <x v="11"/>
    <x v="2"/>
    <n v="28860.12"/>
    <n v="2000"/>
    <n v="26860.12"/>
    <n v="93.070021999999994"/>
  </r>
  <r>
    <s v="O0821"/>
    <x v="63"/>
    <x v="1"/>
    <d v="2024-07-06T00:00:00"/>
    <x v="4"/>
    <x v="0"/>
    <n v="44194.34"/>
    <n v="500"/>
    <n v="43694.34"/>
    <n v="98.868633000000003"/>
  </r>
  <r>
    <s v="O0822"/>
    <x v="119"/>
    <x v="3"/>
    <d v="2024-10-08T00:00:00"/>
    <x v="0"/>
    <x v="0"/>
    <n v="8144.51"/>
    <n v="500"/>
    <n v="7644.51"/>
    <n v="93.860894999999999"/>
  </r>
  <r>
    <s v="O0823"/>
    <x v="110"/>
    <x v="1"/>
    <d v="2024-07-28T00:00:00"/>
    <x v="4"/>
    <x v="0"/>
    <n v="8435.48"/>
    <n v="500"/>
    <n v="7935.48"/>
    <n v="94.072654999999997"/>
  </r>
  <r>
    <s v="O0824"/>
    <x v="58"/>
    <x v="1"/>
    <d v="2024-08-13T00:00:00"/>
    <x v="8"/>
    <x v="2"/>
    <n v="47718.89"/>
    <n v="2000"/>
    <n v="45718.89"/>
    <n v="95.808788000000007"/>
  </r>
  <r>
    <s v="O0825"/>
    <x v="141"/>
    <x v="3"/>
    <d v="2024-10-30T00:00:00"/>
    <x v="0"/>
    <x v="0"/>
    <n v="20042.39"/>
    <n v="500"/>
    <n v="19542.39"/>
    <n v="97.505287999999993"/>
  </r>
  <r>
    <s v="O0826"/>
    <x v="139"/>
    <x v="0"/>
    <d v="2024-08-22T00:00:00"/>
    <x v="8"/>
    <x v="1"/>
    <n v="1343.45"/>
    <n v="12000"/>
    <n v="-10656.55"/>
    <n v="-793.22267299999999"/>
  </r>
  <r>
    <s v="O0827"/>
    <x v="103"/>
    <x v="1"/>
    <d v="2024-11-25T00:00:00"/>
    <x v="10"/>
    <x v="0"/>
    <n v="45790.8"/>
    <n v="500"/>
    <n v="45290.8"/>
    <n v="98.908078000000003"/>
  </r>
  <r>
    <s v="O0828"/>
    <x v="29"/>
    <x v="0"/>
    <d v="2024-02-24T00:00:00"/>
    <x v="9"/>
    <x v="1"/>
    <n v="49480.14"/>
    <n v="12000"/>
    <n v="37480.14"/>
    <n v="75.747844999999998"/>
  </r>
  <r>
    <s v="O0829"/>
    <x v="79"/>
    <x v="2"/>
    <d v="2024-01-16T00:00:00"/>
    <x v="7"/>
    <x v="1"/>
    <n v="40541.040000000001"/>
    <n v="12000"/>
    <n v="28541.040000000001"/>
    <n v="70.400364999999994"/>
  </r>
  <r>
    <s v="O0830"/>
    <x v="58"/>
    <x v="1"/>
    <d v="2024-09-03T00:00:00"/>
    <x v="2"/>
    <x v="0"/>
    <n v="8869.27"/>
    <n v="500"/>
    <n v="8369.27"/>
    <n v="94.362556999999995"/>
  </r>
  <r>
    <s v="O0831"/>
    <x v="170"/>
    <x v="1"/>
    <d v="2024-08-03T00:00:00"/>
    <x v="8"/>
    <x v="2"/>
    <n v="15194"/>
    <n v="2000"/>
    <n v="13194"/>
    <n v="86.836909000000006"/>
  </r>
  <r>
    <s v="O0832"/>
    <x v="185"/>
    <x v="2"/>
    <d v="2024-07-01T00:00:00"/>
    <x v="4"/>
    <x v="2"/>
    <n v="40425.839999999997"/>
    <n v="2000"/>
    <n v="38425.839999999997"/>
    <n v="95.052668999999995"/>
  </r>
  <r>
    <s v="O0833"/>
    <x v="174"/>
    <x v="3"/>
    <d v="2024-05-05T00:00:00"/>
    <x v="5"/>
    <x v="2"/>
    <n v="20468.919999999998"/>
    <n v="2000"/>
    <n v="18468.919999999998"/>
    <n v="90.229089000000002"/>
  </r>
  <r>
    <s v="O0834"/>
    <x v="118"/>
    <x v="0"/>
    <d v="2024-08-27T00:00:00"/>
    <x v="8"/>
    <x v="0"/>
    <n v="2680.01"/>
    <n v="500"/>
    <n v="2180.0100000000002"/>
    <n v="81.343352999999993"/>
  </r>
  <r>
    <s v="O0835"/>
    <x v="8"/>
    <x v="2"/>
    <d v="2024-02-18T00:00:00"/>
    <x v="9"/>
    <x v="0"/>
    <n v="13574.63"/>
    <n v="500"/>
    <n v="13074.63"/>
    <n v="96.316658000000004"/>
  </r>
  <r>
    <s v="O0836"/>
    <x v="99"/>
    <x v="1"/>
    <d v="2024-04-19T00:00:00"/>
    <x v="3"/>
    <x v="3"/>
    <n v="5840.28"/>
    <n v="30000"/>
    <n v="-24159.72"/>
    <n v="-413.67400199999997"/>
  </r>
  <r>
    <s v="O0837"/>
    <x v="101"/>
    <x v="3"/>
    <d v="2024-11-10T00:00:00"/>
    <x v="10"/>
    <x v="1"/>
    <n v="50279.35"/>
    <n v="12000"/>
    <n v="38279.35"/>
    <n v="76.133342999999996"/>
  </r>
  <r>
    <s v="O0838"/>
    <x v="163"/>
    <x v="2"/>
    <d v="2024-09-22T00:00:00"/>
    <x v="2"/>
    <x v="3"/>
    <n v="27354.95"/>
    <n v="30000"/>
    <n v="-2645.05"/>
    <n v="-9.6693650000000009"/>
  </r>
  <r>
    <s v="O0839"/>
    <x v="136"/>
    <x v="3"/>
    <d v="2024-07-22T00:00:00"/>
    <x v="4"/>
    <x v="0"/>
    <n v="15169.1"/>
    <n v="500"/>
    <n v="14669.1"/>
    <n v="96.703826000000007"/>
  </r>
  <r>
    <s v="O0840"/>
    <x v="4"/>
    <x v="0"/>
    <d v="2024-07-11T00:00:00"/>
    <x v="4"/>
    <x v="0"/>
    <n v="11670.88"/>
    <n v="500"/>
    <n v="11170.88"/>
    <n v="95.715833000000003"/>
  </r>
  <r>
    <s v="O0841"/>
    <x v="156"/>
    <x v="2"/>
    <d v="2024-10-22T00:00:00"/>
    <x v="0"/>
    <x v="2"/>
    <n v="12954.7"/>
    <n v="2000"/>
    <n v="10954.7"/>
    <n v="84.561588"/>
  </r>
  <r>
    <s v="O0842"/>
    <x v="111"/>
    <x v="0"/>
    <d v="2024-05-12T00:00:00"/>
    <x v="5"/>
    <x v="1"/>
    <n v="6654.79"/>
    <n v="12000"/>
    <n v="-5345.21"/>
    <n v="-80.321241999999998"/>
  </r>
  <r>
    <s v="O0843"/>
    <x v="108"/>
    <x v="1"/>
    <d v="2024-07-04T00:00:00"/>
    <x v="4"/>
    <x v="1"/>
    <n v="2322.62"/>
    <n v="12000"/>
    <n v="-9677.3799999999992"/>
    <n v="-416.65791200000001"/>
  </r>
  <r>
    <s v="O0844"/>
    <x v="187"/>
    <x v="2"/>
    <d v="2024-11-24T00:00:00"/>
    <x v="10"/>
    <x v="3"/>
    <n v="43252.14"/>
    <n v="30000"/>
    <n v="13252.14"/>
    <n v="30.63927"/>
  </r>
  <r>
    <s v="O0845"/>
    <x v="198"/>
    <x v="2"/>
    <d v="2024-12-08T00:00:00"/>
    <x v="11"/>
    <x v="3"/>
    <n v="17014.29"/>
    <n v="30000"/>
    <n v="-12985.71"/>
    <n v="-76.322373999999996"/>
  </r>
  <r>
    <s v="O0846"/>
    <x v="14"/>
    <x v="2"/>
    <d v="2024-04-07T00:00:00"/>
    <x v="3"/>
    <x v="0"/>
    <n v="20307.71"/>
    <n v="500"/>
    <n v="19807.71"/>
    <n v="97.537880999999999"/>
  </r>
  <r>
    <s v="O0847"/>
    <x v="78"/>
    <x v="2"/>
    <d v="2024-03-22T00:00:00"/>
    <x v="1"/>
    <x v="2"/>
    <n v="3905.22"/>
    <n v="2000"/>
    <n v="1905.22"/>
    <n v="48.786496"/>
  </r>
  <r>
    <s v="O0848"/>
    <x v="69"/>
    <x v="0"/>
    <d v="2024-02-29T00:00:00"/>
    <x v="9"/>
    <x v="0"/>
    <n v="9934.08"/>
    <n v="500"/>
    <n v="9434.08"/>
    <n v="94.966820999999996"/>
  </r>
  <r>
    <s v="O0849"/>
    <x v="187"/>
    <x v="2"/>
    <d v="2024-03-17T00:00:00"/>
    <x v="1"/>
    <x v="2"/>
    <n v="38293.300000000003"/>
    <n v="2000"/>
    <n v="36293.300000000003"/>
    <n v="94.777153999999996"/>
  </r>
  <r>
    <s v="O0850"/>
    <x v="113"/>
    <x v="2"/>
    <d v="2024-02-04T00:00:00"/>
    <x v="9"/>
    <x v="3"/>
    <n v="3142.21"/>
    <n v="30000"/>
    <n v="-26857.79"/>
    <n v="-854.74204499999996"/>
  </r>
  <r>
    <s v="O0851"/>
    <x v="163"/>
    <x v="2"/>
    <d v="2024-08-15T00:00:00"/>
    <x v="8"/>
    <x v="2"/>
    <n v="13993.99"/>
    <n v="2000"/>
    <n v="11993.99"/>
    <n v="85.708150000000003"/>
  </r>
  <r>
    <s v="O0852"/>
    <x v="68"/>
    <x v="3"/>
    <d v="2024-03-06T00:00:00"/>
    <x v="1"/>
    <x v="1"/>
    <n v="12084.93"/>
    <n v="12000"/>
    <n v="84.93"/>
    <n v="0.70277599999999996"/>
  </r>
  <r>
    <s v="O0853"/>
    <x v="166"/>
    <x v="2"/>
    <d v="2024-08-19T00:00:00"/>
    <x v="8"/>
    <x v="0"/>
    <n v="9231.08"/>
    <n v="500"/>
    <n v="8731.08"/>
    <n v="94.583516000000003"/>
  </r>
  <r>
    <s v="O0854"/>
    <x v="48"/>
    <x v="2"/>
    <d v="2024-10-17T00:00:00"/>
    <x v="0"/>
    <x v="3"/>
    <n v="13704.14"/>
    <n v="30000"/>
    <n v="-16295.86"/>
    <n v="-118.91194900000001"/>
  </r>
  <r>
    <s v="O0855"/>
    <x v="83"/>
    <x v="1"/>
    <d v="2024-06-30T00:00:00"/>
    <x v="6"/>
    <x v="0"/>
    <n v="4962.09"/>
    <n v="500"/>
    <n v="4462.09"/>
    <n v="89.923601000000005"/>
  </r>
  <r>
    <s v="O0856"/>
    <x v="102"/>
    <x v="0"/>
    <d v="2024-12-25T00:00:00"/>
    <x v="11"/>
    <x v="1"/>
    <n v="23474.53"/>
    <n v="12000"/>
    <n v="11474.53"/>
    <n v="48.880766000000001"/>
  </r>
  <r>
    <s v="O0857"/>
    <x v="83"/>
    <x v="1"/>
    <d v="2024-12-13T00:00:00"/>
    <x v="11"/>
    <x v="3"/>
    <n v="3652.17"/>
    <n v="30000"/>
    <n v="-26347.83"/>
    <n v="-721.42945199999997"/>
  </r>
  <r>
    <s v="O0858"/>
    <x v="175"/>
    <x v="1"/>
    <d v="2024-11-07T00:00:00"/>
    <x v="10"/>
    <x v="1"/>
    <n v="17133.93"/>
    <n v="12000"/>
    <n v="5133.93"/>
    <n v="29.963529000000001"/>
  </r>
  <r>
    <s v="O0859"/>
    <x v="100"/>
    <x v="2"/>
    <d v="2024-08-21T00:00:00"/>
    <x v="8"/>
    <x v="1"/>
    <n v="19572.72"/>
    <n v="12000"/>
    <n v="7572.72"/>
    <n v="38.690176999999998"/>
  </r>
  <r>
    <s v="O0860"/>
    <x v="184"/>
    <x v="1"/>
    <d v="2024-02-07T00:00:00"/>
    <x v="9"/>
    <x v="3"/>
    <n v="40721.83"/>
    <n v="30000"/>
    <n v="10721.83"/>
    <n v="26.329440000000002"/>
  </r>
  <r>
    <s v="O0861"/>
    <x v="199"/>
    <x v="2"/>
    <d v="2024-11-30T00:00:00"/>
    <x v="10"/>
    <x v="2"/>
    <n v="43022.73"/>
    <n v="2000"/>
    <n v="41022.730000000003"/>
    <n v="95.351294999999993"/>
  </r>
  <r>
    <s v="O0862"/>
    <x v="89"/>
    <x v="1"/>
    <d v="2024-06-05T00:00:00"/>
    <x v="6"/>
    <x v="1"/>
    <n v="47626.02"/>
    <n v="12000"/>
    <n v="35626.019999999997"/>
    <n v="74.803689000000006"/>
  </r>
  <r>
    <s v="O0863"/>
    <x v="81"/>
    <x v="3"/>
    <d v="2024-02-07T00:00:00"/>
    <x v="9"/>
    <x v="1"/>
    <n v="28358.3"/>
    <n v="12000"/>
    <n v="16358.3"/>
    <n v="57.684345999999998"/>
  </r>
  <r>
    <s v="O0864"/>
    <x v="164"/>
    <x v="3"/>
    <d v="2024-05-10T00:00:00"/>
    <x v="5"/>
    <x v="0"/>
    <n v="39864.9"/>
    <n v="500"/>
    <n v="39364.9"/>
    <n v="98.745763999999994"/>
  </r>
  <r>
    <s v="O0865"/>
    <x v="87"/>
    <x v="2"/>
    <d v="2024-10-23T00:00:00"/>
    <x v="0"/>
    <x v="0"/>
    <n v="44156.38"/>
    <n v="500"/>
    <n v="43656.38"/>
    <n v="98.867660999999998"/>
  </r>
  <r>
    <s v="O0866"/>
    <x v="79"/>
    <x v="2"/>
    <d v="2024-01-11T00:00:00"/>
    <x v="7"/>
    <x v="1"/>
    <n v="27988.69"/>
    <n v="12000"/>
    <n v="15988.69"/>
    <n v="57.125539000000003"/>
  </r>
  <r>
    <s v="O0867"/>
    <x v="125"/>
    <x v="0"/>
    <d v="2024-08-11T00:00:00"/>
    <x v="8"/>
    <x v="2"/>
    <n v="37822.58"/>
    <n v="2000"/>
    <n v="35822.58"/>
    <n v="94.712153000000001"/>
  </r>
  <r>
    <s v="O0868"/>
    <x v="151"/>
    <x v="3"/>
    <d v="2024-10-16T00:00:00"/>
    <x v="0"/>
    <x v="0"/>
    <n v="21561.29"/>
    <n v="500"/>
    <n v="21061.29"/>
    <n v="97.681028999999995"/>
  </r>
  <r>
    <s v="O0869"/>
    <x v="162"/>
    <x v="2"/>
    <d v="2024-09-06T00:00:00"/>
    <x v="2"/>
    <x v="0"/>
    <n v="46511.12"/>
    <n v="500"/>
    <n v="46011.12"/>
    <n v="98.924987999999999"/>
  </r>
  <r>
    <s v="O0870"/>
    <x v="25"/>
    <x v="1"/>
    <d v="2024-01-19T00:00:00"/>
    <x v="7"/>
    <x v="3"/>
    <n v="49017.98"/>
    <n v="30000"/>
    <n v="19017.98"/>
    <n v="38.797967999999997"/>
  </r>
  <r>
    <s v="O0871"/>
    <x v="122"/>
    <x v="0"/>
    <d v="2024-05-19T00:00:00"/>
    <x v="5"/>
    <x v="0"/>
    <n v="33821.480000000003"/>
    <n v="500"/>
    <n v="33321.480000000003"/>
    <n v="98.521649999999994"/>
  </r>
  <r>
    <s v="O0872"/>
    <x v="95"/>
    <x v="2"/>
    <d v="2024-09-29T00:00:00"/>
    <x v="2"/>
    <x v="3"/>
    <n v="9818.5499999999993"/>
    <n v="30000"/>
    <n v="-20181.45"/>
    <n v="-205.54409799999999"/>
  </r>
  <r>
    <s v="O0873"/>
    <x v="149"/>
    <x v="0"/>
    <d v="2024-02-09T00:00:00"/>
    <x v="9"/>
    <x v="3"/>
    <n v="48246.05"/>
    <n v="30000"/>
    <n v="18246.05"/>
    <n v="37.818744000000002"/>
  </r>
  <r>
    <s v="O0874"/>
    <x v="120"/>
    <x v="2"/>
    <d v="2024-01-14T00:00:00"/>
    <x v="7"/>
    <x v="2"/>
    <n v="11513.48"/>
    <n v="2000"/>
    <n v="9513.48"/>
    <n v="82.629057000000003"/>
  </r>
  <r>
    <s v="O0875"/>
    <x v="88"/>
    <x v="3"/>
    <d v="2024-12-26T00:00:00"/>
    <x v="11"/>
    <x v="1"/>
    <n v="43091.360000000001"/>
    <n v="12000"/>
    <n v="31091.360000000001"/>
    <n v="72.152190000000004"/>
  </r>
  <r>
    <s v="O0876"/>
    <x v="181"/>
    <x v="2"/>
    <d v="2024-11-30T00:00:00"/>
    <x v="10"/>
    <x v="2"/>
    <n v="46482.26"/>
    <n v="2000"/>
    <n v="44482.26"/>
    <n v="95.697282999999999"/>
  </r>
  <r>
    <s v="O0877"/>
    <x v="102"/>
    <x v="0"/>
    <d v="2024-11-23T00:00:00"/>
    <x v="10"/>
    <x v="0"/>
    <n v="24631.55"/>
    <n v="500"/>
    <n v="24131.55"/>
    <n v="97.970083000000002"/>
  </r>
  <r>
    <s v="O0878"/>
    <x v="92"/>
    <x v="3"/>
    <d v="2024-10-07T00:00:00"/>
    <x v="0"/>
    <x v="2"/>
    <n v="20845.98"/>
    <n v="2000"/>
    <n v="18845.98"/>
    <n v="90.405823999999996"/>
  </r>
  <r>
    <s v="O0879"/>
    <x v="53"/>
    <x v="0"/>
    <d v="2024-11-14T00:00:00"/>
    <x v="10"/>
    <x v="0"/>
    <n v="46852.68"/>
    <n v="500"/>
    <n v="46352.68"/>
    <n v="98.932824999999994"/>
  </r>
  <r>
    <s v="O0880"/>
    <x v="70"/>
    <x v="0"/>
    <d v="2024-01-14T00:00:00"/>
    <x v="7"/>
    <x v="0"/>
    <n v="26631.01"/>
    <n v="500"/>
    <n v="26131.01"/>
    <n v="98.122489999999999"/>
  </r>
  <r>
    <s v="O0881"/>
    <x v="124"/>
    <x v="0"/>
    <d v="2024-07-13T00:00:00"/>
    <x v="4"/>
    <x v="0"/>
    <n v="30047.33"/>
    <n v="500"/>
    <n v="29547.33"/>
    <n v="98.335959000000003"/>
  </r>
  <r>
    <s v="O0882"/>
    <x v="91"/>
    <x v="2"/>
    <d v="2024-11-15T00:00:00"/>
    <x v="10"/>
    <x v="3"/>
    <n v="32982.559999999998"/>
    <n v="30000"/>
    <n v="2982.56"/>
    <n v="9.04284"/>
  </r>
  <r>
    <s v="O0883"/>
    <x v="126"/>
    <x v="0"/>
    <d v="2024-01-27T00:00:00"/>
    <x v="7"/>
    <x v="0"/>
    <n v="32277.19"/>
    <n v="500"/>
    <n v="31777.19"/>
    <n v="98.450918000000001"/>
  </r>
  <r>
    <s v="O0884"/>
    <x v="32"/>
    <x v="2"/>
    <d v="2024-04-24T00:00:00"/>
    <x v="3"/>
    <x v="1"/>
    <n v="28595.22"/>
    <n v="12000"/>
    <n v="16595.22"/>
    <n v="58.034944000000003"/>
  </r>
  <r>
    <s v="O0885"/>
    <x v="83"/>
    <x v="1"/>
    <d v="2024-07-21T00:00:00"/>
    <x v="4"/>
    <x v="3"/>
    <n v="19089.98"/>
    <n v="30000"/>
    <n v="-10910.02"/>
    <n v="-57.150505000000003"/>
  </r>
  <r>
    <s v="O0886"/>
    <x v="140"/>
    <x v="3"/>
    <d v="2024-08-18T00:00:00"/>
    <x v="8"/>
    <x v="0"/>
    <n v="43587.28"/>
    <n v="500"/>
    <n v="43087.28"/>
    <n v="98.852875999999995"/>
  </r>
  <r>
    <s v="O0887"/>
    <x v="104"/>
    <x v="1"/>
    <d v="2024-02-05T00:00:00"/>
    <x v="9"/>
    <x v="1"/>
    <n v="36871.67"/>
    <n v="12000"/>
    <n v="24871.67"/>
    <n v="67.454688000000004"/>
  </r>
  <r>
    <s v="O0888"/>
    <x v="98"/>
    <x v="0"/>
    <d v="2024-06-29T00:00:00"/>
    <x v="6"/>
    <x v="2"/>
    <n v="28504.89"/>
    <n v="2000"/>
    <n v="26504.89"/>
    <n v="92.98366"/>
  </r>
  <r>
    <s v="O0889"/>
    <x v="71"/>
    <x v="3"/>
    <d v="2024-01-03T00:00:00"/>
    <x v="7"/>
    <x v="1"/>
    <n v="19394.79"/>
    <n v="12000"/>
    <n v="7394.79"/>
    <n v="38.127713999999997"/>
  </r>
  <r>
    <s v="O0890"/>
    <x v="96"/>
    <x v="3"/>
    <d v="2024-03-24T00:00:00"/>
    <x v="1"/>
    <x v="0"/>
    <n v="15126.68"/>
    <n v="500"/>
    <n v="14626.68"/>
    <n v="96.694581999999997"/>
  </r>
  <r>
    <s v="O0891"/>
    <x v="156"/>
    <x v="2"/>
    <d v="2024-04-12T00:00:00"/>
    <x v="3"/>
    <x v="0"/>
    <n v="33427.86"/>
    <n v="500"/>
    <n v="32927.86"/>
    <n v="98.504242000000005"/>
  </r>
  <r>
    <s v="O0892"/>
    <x v="122"/>
    <x v="0"/>
    <d v="2024-02-20T00:00:00"/>
    <x v="9"/>
    <x v="2"/>
    <n v="14809.27"/>
    <n v="2000"/>
    <n v="12809.27"/>
    <n v="86.494945000000001"/>
  </r>
  <r>
    <s v="O0893"/>
    <x v="188"/>
    <x v="2"/>
    <d v="2024-05-14T00:00:00"/>
    <x v="5"/>
    <x v="3"/>
    <n v="5203.74"/>
    <n v="30000"/>
    <n v="-24796.26"/>
    <n v="-476.50843400000002"/>
  </r>
  <r>
    <s v="O0894"/>
    <x v="133"/>
    <x v="2"/>
    <d v="2024-02-07T00:00:00"/>
    <x v="9"/>
    <x v="3"/>
    <n v="11360.83"/>
    <n v="30000"/>
    <n v="-18639.169999999998"/>
    <n v="-164.065214"/>
  </r>
  <r>
    <s v="O0895"/>
    <x v="2"/>
    <x v="1"/>
    <d v="2024-08-27T00:00:00"/>
    <x v="8"/>
    <x v="2"/>
    <n v="27216.05"/>
    <n v="2000"/>
    <n v="25216.05"/>
    <n v="92.651394999999994"/>
  </r>
  <r>
    <s v="O0896"/>
    <x v="74"/>
    <x v="1"/>
    <d v="2024-07-20T00:00:00"/>
    <x v="4"/>
    <x v="0"/>
    <n v="17494.95"/>
    <n v="500"/>
    <n v="16994.95"/>
    <n v="97.142032"/>
  </r>
  <r>
    <s v="O0897"/>
    <x v="118"/>
    <x v="0"/>
    <d v="2024-05-11T00:00:00"/>
    <x v="5"/>
    <x v="1"/>
    <n v="26050.49"/>
    <n v="12000"/>
    <n v="14050.49"/>
    <n v="53.935606999999997"/>
  </r>
  <r>
    <s v="O0898"/>
    <x v="133"/>
    <x v="2"/>
    <d v="2024-07-21T00:00:00"/>
    <x v="4"/>
    <x v="1"/>
    <n v="7700.04"/>
    <n v="12000"/>
    <n v="-4299.96"/>
    <n v="-55.843345999999997"/>
  </r>
  <r>
    <s v="O0899"/>
    <x v="80"/>
    <x v="0"/>
    <d v="2024-10-13T00:00:00"/>
    <x v="0"/>
    <x v="2"/>
    <n v="11795.09"/>
    <n v="2000"/>
    <n v="9795.09"/>
    <n v="83.043791999999996"/>
  </r>
  <r>
    <s v="O0900"/>
    <x v="102"/>
    <x v="0"/>
    <d v="2024-02-28T00:00:00"/>
    <x v="9"/>
    <x v="3"/>
    <n v="11154.9"/>
    <n v="30000"/>
    <n v="-18845.099999999999"/>
    <n v="-168.94010700000001"/>
  </r>
  <r>
    <s v="O0901"/>
    <x v="9"/>
    <x v="2"/>
    <d v="2024-02-13T00:00:00"/>
    <x v="9"/>
    <x v="0"/>
    <n v="21768.33"/>
    <n v="500"/>
    <n v="21268.33"/>
    <n v="97.703085000000002"/>
  </r>
  <r>
    <s v="O0902"/>
    <x v="42"/>
    <x v="3"/>
    <d v="2024-06-09T00:00:00"/>
    <x v="6"/>
    <x v="3"/>
    <n v="32142.47"/>
    <n v="30000"/>
    <n v="2142.4699999999998"/>
    <n v="6.6655430000000004"/>
  </r>
  <r>
    <s v="O0903"/>
    <x v="112"/>
    <x v="1"/>
    <d v="2024-08-07T00:00:00"/>
    <x v="8"/>
    <x v="0"/>
    <n v="4946.3100000000004"/>
    <n v="500"/>
    <n v="4446.3100000000004"/>
    <n v="89.891453999999996"/>
  </r>
  <r>
    <s v="O0904"/>
    <x v="22"/>
    <x v="1"/>
    <d v="2024-01-07T00:00:00"/>
    <x v="7"/>
    <x v="1"/>
    <n v="19684.77"/>
    <n v="12000"/>
    <n v="7684.77"/>
    <n v="39.039166000000002"/>
  </r>
  <r>
    <s v="O0905"/>
    <x v="187"/>
    <x v="2"/>
    <d v="2024-06-18T00:00:00"/>
    <x v="6"/>
    <x v="0"/>
    <n v="17586.78"/>
    <n v="500"/>
    <n v="17086.78"/>
    <n v="97.156954999999996"/>
  </r>
  <r>
    <s v="O0906"/>
    <x v="35"/>
    <x v="0"/>
    <d v="2024-12-04T00:00:00"/>
    <x v="11"/>
    <x v="2"/>
    <n v="41607.42"/>
    <n v="2000"/>
    <n v="39607.42"/>
    <n v="95.193164999999993"/>
  </r>
  <r>
    <s v="O0907"/>
    <x v="185"/>
    <x v="2"/>
    <d v="2024-07-14T00:00:00"/>
    <x v="4"/>
    <x v="0"/>
    <n v="31863.49"/>
    <n v="500"/>
    <n v="31363.49"/>
    <n v="98.430806000000004"/>
  </r>
  <r>
    <s v="O0908"/>
    <x v="173"/>
    <x v="2"/>
    <d v="2024-09-22T00:00:00"/>
    <x v="2"/>
    <x v="1"/>
    <n v="22544.63"/>
    <n v="12000"/>
    <n v="10544.63"/>
    <n v="46.772247"/>
  </r>
  <r>
    <s v="O0909"/>
    <x v="14"/>
    <x v="2"/>
    <d v="2024-06-21T00:00:00"/>
    <x v="6"/>
    <x v="0"/>
    <n v="44999.74"/>
    <n v="500"/>
    <n v="44499.74"/>
    <n v="98.888881999999995"/>
  </r>
  <r>
    <s v="O0910"/>
    <x v="136"/>
    <x v="3"/>
    <d v="2024-09-14T00:00:00"/>
    <x v="2"/>
    <x v="2"/>
    <n v="30773.81"/>
    <n v="2000"/>
    <n v="28773.81"/>
    <n v="93.500967000000003"/>
  </r>
  <r>
    <s v="O0911"/>
    <x v="197"/>
    <x v="1"/>
    <d v="2024-08-06T00:00:00"/>
    <x v="8"/>
    <x v="2"/>
    <n v="40934.85"/>
    <n v="2000"/>
    <n v="38934.85"/>
    <n v="95.114187999999999"/>
  </r>
  <r>
    <s v="O0912"/>
    <x v="122"/>
    <x v="0"/>
    <d v="2024-06-22T00:00:00"/>
    <x v="6"/>
    <x v="1"/>
    <n v="35368.089999999997"/>
    <n v="12000"/>
    <n v="23368.09"/>
    <n v="66.071111000000002"/>
  </r>
  <r>
    <s v="O0913"/>
    <x v="110"/>
    <x v="1"/>
    <d v="2024-03-17T00:00:00"/>
    <x v="1"/>
    <x v="3"/>
    <n v="5265.73"/>
    <n v="30000"/>
    <n v="-24734.27"/>
    <n v="-469.72157700000002"/>
  </r>
  <r>
    <s v="O0914"/>
    <x v="8"/>
    <x v="2"/>
    <d v="2024-06-12T00:00:00"/>
    <x v="6"/>
    <x v="1"/>
    <n v="7004.56"/>
    <n v="12000"/>
    <n v="-4995.4399999999996"/>
    <n v="-71.316970999999995"/>
  </r>
  <r>
    <s v="O0915"/>
    <x v="128"/>
    <x v="2"/>
    <d v="2024-09-30T00:00:00"/>
    <x v="2"/>
    <x v="1"/>
    <n v="36650.879999999997"/>
    <n v="12000"/>
    <n v="24650.880000000001"/>
    <n v="67.258630999999994"/>
  </r>
  <r>
    <s v="O0916"/>
    <x v="131"/>
    <x v="3"/>
    <d v="2024-09-01T00:00:00"/>
    <x v="2"/>
    <x v="1"/>
    <n v="42443.77"/>
    <n v="12000"/>
    <n v="30443.77"/>
    <n v="71.727299000000002"/>
  </r>
  <r>
    <s v="O0917"/>
    <x v="52"/>
    <x v="1"/>
    <d v="2024-04-13T00:00:00"/>
    <x v="3"/>
    <x v="2"/>
    <n v="32898.53"/>
    <n v="2000"/>
    <n v="30898.53"/>
    <n v="93.920700999999994"/>
  </r>
  <r>
    <s v="O0918"/>
    <x v="38"/>
    <x v="2"/>
    <d v="2024-04-28T00:00:00"/>
    <x v="3"/>
    <x v="1"/>
    <n v="46001.03"/>
    <n v="12000"/>
    <n v="34001.03"/>
    <n v="73.913628000000003"/>
  </r>
  <r>
    <s v="O0919"/>
    <x v="159"/>
    <x v="2"/>
    <d v="2024-08-11T00:00:00"/>
    <x v="8"/>
    <x v="0"/>
    <n v="41675.85"/>
    <n v="500"/>
    <n v="41175.85"/>
    <n v="98.800263999999999"/>
  </r>
  <r>
    <s v="O0920"/>
    <x v="18"/>
    <x v="2"/>
    <d v="2024-10-04T00:00:00"/>
    <x v="0"/>
    <x v="1"/>
    <n v="28136.45"/>
    <n v="12000"/>
    <n v="16136.45"/>
    <n v="57.350695999999999"/>
  </r>
  <r>
    <s v="O0921"/>
    <x v="154"/>
    <x v="1"/>
    <d v="2024-04-08T00:00:00"/>
    <x v="3"/>
    <x v="1"/>
    <n v="8530.73"/>
    <n v="12000"/>
    <n v="-3469.27"/>
    <n v="-40.667915000000001"/>
  </r>
  <r>
    <s v="O0922"/>
    <x v="175"/>
    <x v="1"/>
    <d v="2024-04-09T00:00:00"/>
    <x v="3"/>
    <x v="1"/>
    <n v="30171.18"/>
    <n v="12000"/>
    <n v="18171.18"/>
    <n v="60.226945000000001"/>
  </r>
  <r>
    <s v="O0923"/>
    <x v="53"/>
    <x v="0"/>
    <d v="2024-07-10T00:00:00"/>
    <x v="4"/>
    <x v="3"/>
    <n v="14025.22"/>
    <n v="30000"/>
    <n v="-15974.78"/>
    <n v="-113.90038800000001"/>
  </r>
  <r>
    <s v="O0924"/>
    <x v="86"/>
    <x v="3"/>
    <d v="2024-08-07T00:00:00"/>
    <x v="8"/>
    <x v="2"/>
    <n v="40101.160000000003"/>
    <n v="2000"/>
    <n v="38101.160000000003"/>
    <n v="95.012613000000002"/>
  </r>
  <r>
    <s v="O0925"/>
    <x v="30"/>
    <x v="0"/>
    <d v="2024-10-09T00:00:00"/>
    <x v="0"/>
    <x v="0"/>
    <n v="25578.23"/>
    <n v="500"/>
    <n v="25078.23"/>
    <n v="98.045213000000004"/>
  </r>
  <r>
    <s v="O0926"/>
    <x v="4"/>
    <x v="0"/>
    <d v="2024-12-08T00:00:00"/>
    <x v="11"/>
    <x v="3"/>
    <n v="17810.240000000002"/>
    <n v="30000"/>
    <n v="-12189.76"/>
    <n v="-68.442424000000003"/>
  </r>
  <r>
    <s v="O0927"/>
    <x v="78"/>
    <x v="2"/>
    <d v="2024-09-15T00:00:00"/>
    <x v="2"/>
    <x v="3"/>
    <n v="39100.89"/>
    <n v="30000"/>
    <n v="9100.89"/>
    <n v="23.275404000000002"/>
  </r>
  <r>
    <s v="O0928"/>
    <x v="69"/>
    <x v="0"/>
    <d v="2024-07-01T00:00:00"/>
    <x v="4"/>
    <x v="2"/>
    <n v="30432.46"/>
    <n v="2000"/>
    <n v="28432.46"/>
    <n v="93.428070000000005"/>
  </r>
  <r>
    <s v="O0929"/>
    <x v="132"/>
    <x v="2"/>
    <d v="2024-12-23T00:00:00"/>
    <x v="11"/>
    <x v="1"/>
    <n v="20861.650000000001"/>
    <n v="12000"/>
    <n v="8861.65"/>
    <n v="42.478183999999999"/>
  </r>
  <r>
    <s v="O0930"/>
    <x v="82"/>
    <x v="0"/>
    <d v="2024-11-27T00:00:00"/>
    <x v="10"/>
    <x v="0"/>
    <n v="10347.48"/>
    <n v="500"/>
    <n v="9847.48"/>
    <n v="95.167906000000002"/>
  </r>
  <r>
    <s v="O0931"/>
    <x v="23"/>
    <x v="2"/>
    <d v="2024-12-16T00:00:00"/>
    <x v="11"/>
    <x v="3"/>
    <n v="27647.75"/>
    <n v="30000"/>
    <n v="-2352.25"/>
    <n v="-8.5079259999999994"/>
  </r>
  <r>
    <s v="O0932"/>
    <x v="174"/>
    <x v="3"/>
    <d v="2024-01-03T00:00:00"/>
    <x v="7"/>
    <x v="3"/>
    <n v="501.93"/>
    <n v="30000"/>
    <n v="-29498.07"/>
    <n v="-5876.9290540000002"/>
  </r>
  <r>
    <s v="O0933"/>
    <x v="90"/>
    <x v="0"/>
    <d v="2024-09-06T00:00:00"/>
    <x v="2"/>
    <x v="2"/>
    <n v="6442.76"/>
    <n v="2000"/>
    <n v="4442.76"/>
    <n v="68.957402999999999"/>
  </r>
  <r>
    <s v="O0934"/>
    <x v="36"/>
    <x v="3"/>
    <d v="2024-06-12T00:00:00"/>
    <x v="6"/>
    <x v="0"/>
    <n v="15599.03"/>
    <n v="500"/>
    <n v="15099.03"/>
    <n v="96.794672000000006"/>
  </r>
  <r>
    <s v="O0935"/>
    <x v="155"/>
    <x v="0"/>
    <d v="2024-04-25T00:00:00"/>
    <x v="3"/>
    <x v="1"/>
    <n v="27480.97"/>
    <n v="12000"/>
    <n v="15480.97"/>
    <n v="56.333418999999999"/>
  </r>
  <r>
    <s v="O0936"/>
    <x v="168"/>
    <x v="0"/>
    <d v="2024-05-21T00:00:00"/>
    <x v="5"/>
    <x v="2"/>
    <n v="28370.45"/>
    <n v="2000"/>
    <n v="26370.45"/>
    <n v="92.950411000000003"/>
  </r>
  <r>
    <s v="O0937"/>
    <x v="29"/>
    <x v="0"/>
    <d v="2024-10-15T00:00:00"/>
    <x v="0"/>
    <x v="2"/>
    <n v="3037.96"/>
    <n v="2000"/>
    <n v="1037.96"/>
    <n v="34.166347999999999"/>
  </r>
  <r>
    <s v="O0938"/>
    <x v="130"/>
    <x v="2"/>
    <d v="2024-08-22T00:00:00"/>
    <x v="8"/>
    <x v="2"/>
    <n v="21473.13"/>
    <n v="2000"/>
    <n v="19473.13"/>
    <n v="90.686034000000006"/>
  </r>
  <r>
    <s v="O0939"/>
    <x v="125"/>
    <x v="0"/>
    <d v="2024-08-21T00:00:00"/>
    <x v="8"/>
    <x v="2"/>
    <n v="19141.95"/>
    <n v="2000"/>
    <n v="17141.95"/>
    <n v="89.551743999999999"/>
  </r>
  <r>
    <s v="O0940"/>
    <x v="195"/>
    <x v="2"/>
    <d v="2024-12-11T00:00:00"/>
    <x v="11"/>
    <x v="0"/>
    <n v="902.44"/>
    <n v="500"/>
    <n v="402.44"/>
    <n v="44.594653999999998"/>
  </r>
  <r>
    <s v="O0941"/>
    <x v="175"/>
    <x v="1"/>
    <d v="2024-12-08T00:00:00"/>
    <x v="11"/>
    <x v="0"/>
    <n v="14101.83"/>
    <n v="500"/>
    <n v="13601.83"/>
    <n v="96.454361000000006"/>
  </r>
  <r>
    <s v="O0942"/>
    <x v="167"/>
    <x v="2"/>
    <d v="2024-11-12T00:00:00"/>
    <x v="10"/>
    <x v="3"/>
    <n v="15405.4"/>
    <n v="30000"/>
    <n v="-14594.6"/>
    <n v="-94.736909999999995"/>
  </r>
  <r>
    <s v="O0943"/>
    <x v="121"/>
    <x v="2"/>
    <d v="2024-06-25T00:00:00"/>
    <x v="6"/>
    <x v="0"/>
    <n v="30719.51"/>
    <n v="500"/>
    <n v="30219.51"/>
    <n v="98.372370000000004"/>
  </r>
  <r>
    <s v="O0944"/>
    <x v="41"/>
    <x v="1"/>
    <d v="2024-11-29T00:00:00"/>
    <x v="10"/>
    <x v="3"/>
    <n v="2268.65"/>
    <n v="30000"/>
    <n v="-27731.35"/>
    <n v="-1222.3723359999999"/>
  </r>
  <r>
    <s v="O0945"/>
    <x v="111"/>
    <x v="0"/>
    <d v="2024-02-22T00:00:00"/>
    <x v="9"/>
    <x v="1"/>
    <n v="15913.99"/>
    <n v="12000"/>
    <n v="3913.99"/>
    <n v="24.594649"/>
  </r>
  <r>
    <s v="O0946"/>
    <x v="20"/>
    <x v="3"/>
    <d v="2024-05-06T00:00:00"/>
    <x v="5"/>
    <x v="3"/>
    <n v="6358.34"/>
    <n v="30000"/>
    <n v="-23641.66"/>
    <n v="-371.82126199999999"/>
  </r>
  <r>
    <s v="O0947"/>
    <x v="92"/>
    <x v="3"/>
    <d v="2024-01-07T00:00:00"/>
    <x v="7"/>
    <x v="0"/>
    <n v="45951.360000000001"/>
    <n v="500"/>
    <n v="45451.360000000001"/>
    <n v="98.911893000000006"/>
  </r>
  <r>
    <s v="O0948"/>
    <x v="78"/>
    <x v="2"/>
    <d v="2024-02-05T00:00:00"/>
    <x v="9"/>
    <x v="3"/>
    <n v="17686.64"/>
    <n v="30000"/>
    <n v="-12313.36"/>
    <n v="-69.619555000000005"/>
  </r>
  <r>
    <s v="O0949"/>
    <x v="100"/>
    <x v="2"/>
    <d v="2024-03-20T00:00:00"/>
    <x v="1"/>
    <x v="3"/>
    <n v="6111.47"/>
    <n v="30000"/>
    <n v="-23888.53"/>
    <n v="-390.88026300000001"/>
  </r>
  <r>
    <s v="O0950"/>
    <x v="17"/>
    <x v="2"/>
    <d v="2024-07-29T00:00:00"/>
    <x v="4"/>
    <x v="1"/>
    <n v="1071.7"/>
    <n v="12000"/>
    <n v="-10928.3"/>
    <n v="-1019.7163389999999"/>
  </r>
  <r>
    <s v="O0951"/>
    <x v="59"/>
    <x v="2"/>
    <d v="2024-02-22T00:00:00"/>
    <x v="9"/>
    <x v="2"/>
    <n v="30168.959999999999"/>
    <n v="2000"/>
    <n v="28168.959999999999"/>
    <n v="93.370670000000004"/>
  </r>
  <r>
    <s v="O0952"/>
    <x v="122"/>
    <x v="0"/>
    <d v="2024-06-18T00:00:00"/>
    <x v="6"/>
    <x v="1"/>
    <n v="23290.46"/>
    <n v="12000"/>
    <n v="11290.46"/>
    <n v="48.476757999999997"/>
  </r>
  <r>
    <s v="O0953"/>
    <x v="172"/>
    <x v="3"/>
    <d v="2024-11-15T00:00:00"/>
    <x v="10"/>
    <x v="0"/>
    <n v="6879.84"/>
    <n v="500"/>
    <n v="6379.84"/>
    <n v="92.732388999999998"/>
  </r>
  <r>
    <s v="O0954"/>
    <x v="11"/>
    <x v="1"/>
    <d v="2024-05-04T00:00:00"/>
    <x v="5"/>
    <x v="3"/>
    <n v="22688.17"/>
    <n v="30000"/>
    <n v="-7311.83"/>
    <n v="-32.227499999999999"/>
  </r>
  <r>
    <s v="O0955"/>
    <x v="183"/>
    <x v="3"/>
    <d v="2024-12-11T00:00:00"/>
    <x v="11"/>
    <x v="2"/>
    <n v="27750.41"/>
    <n v="2000"/>
    <n v="25750.41"/>
    <n v="92.792899000000006"/>
  </r>
  <r>
    <s v="O0956"/>
    <x v="58"/>
    <x v="1"/>
    <d v="2024-02-14T00:00:00"/>
    <x v="9"/>
    <x v="3"/>
    <n v="3131.64"/>
    <n v="30000"/>
    <n v="-26868.36"/>
    <n v="-857.964517"/>
  </r>
  <r>
    <s v="O0957"/>
    <x v="52"/>
    <x v="1"/>
    <d v="2024-06-27T00:00:00"/>
    <x v="6"/>
    <x v="2"/>
    <n v="10317.950000000001"/>
    <n v="2000"/>
    <n v="8317.9500000000007"/>
    <n v="80.616304999999997"/>
  </r>
  <r>
    <s v="O0958"/>
    <x v="195"/>
    <x v="2"/>
    <d v="2024-04-03T00:00:00"/>
    <x v="3"/>
    <x v="1"/>
    <n v="42487.16"/>
    <n v="12000"/>
    <n v="30487.16"/>
    <n v="71.756173000000004"/>
  </r>
  <r>
    <s v="O0959"/>
    <x v="100"/>
    <x v="2"/>
    <d v="2024-07-11T00:00:00"/>
    <x v="4"/>
    <x v="2"/>
    <n v="45807.89"/>
    <n v="2000"/>
    <n v="43807.89"/>
    <n v="95.633939999999996"/>
  </r>
  <r>
    <s v="O0960"/>
    <x v="172"/>
    <x v="3"/>
    <d v="2024-01-29T00:00:00"/>
    <x v="7"/>
    <x v="0"/>
    <n v="26764.82"/>
    <n v="500"/>
    <n v="26264.82"/>
    <n v="98.131876000000005"/>
  </r>
  <r>
    <s v="O0961"/>
    <x v="185"/>
    <x v="2"/>
    <d v="2024-01-30T00:00:00"/>
    <x v="7"/>
    <x v="2"/>
    <n v="31293.59"/>
    <n v="2000"/>
    <n v="29293.59"/>
    <n v="93.608914999999996"/>
  </r>
  <r>
    <s v="O0962"/>
    <x v="110"/>
    <x v="1"/>
    <d v="2024-09-26T00:00:00"/>
    <x v="2"/>
    <x v="0"/>
    <n v="38690.019999999997"/>
    <n v="500"/>
    <n v="38190.019999999997"/>
    <n v="98.707677000000004"/>
  </r>
  <r>
    <s v="O0963"/>
    <x v="121"/>
    <x v="2"/>
    <d v="2024-01-17T00:00:00"/>
    <x v="7"/>
    <x v="2"/>
    <n v="47934.559999999998"/>
    <n v="2000"/>
    <n v="45934.559999999998"/>
    <n v="95.827645000000004"/>
  </r>
  <r>
    <s v="O0964"/>
    <x v="175"/>
    <x v="1"/>
    <d v="2024-06-17T00:00:00"/>
    <x v="6"/>
    <x v="1"/>
    <n v="36297.5"/>
    <n v="12000"/>
    <n v="24297.5"/>
    <n v="66.939871999999994"/>
  </r>
  <r>
    <s v="O0965"/>
    <x v="186"/>
    <x v="3"/>
    <d v="2024-04-13T00:00:00"/>
    <x v="3"/>
    <x v="3"/>
    <n v="25215.71"/>
    <n v="30000"/>
    <n v="-4784.29"/>
    <n v="-18.973448999999999"/>
  </r>
  <r>
    <s v="O0966"/>
    <x v="130"/>
    <x v="2"/>
    <d v="2024-06-12T00:00:00"/>
    <x v="6"/>
    <x v="2"/>
    <n v="7381.42"/>
    <n v="2000"/>
    <n v="5381.42"/>
    <n v="72.904942000000005"/>
  </r>
  <r>
    <s v="O0967"/>
    <x v="23"/>
    <x v="2"/>
    <d v="2024-01-25T00:00:00"/>
    <x v="7"/>
    <x v="2"/>
    <n v="44675.64"/>
    <n v="2000"/>
    <n v="42675.64"/>
    <n v="95.523286999999996"/>
  </r>
  <r>
    <s v="O0968"/>
    <x v="2"/>
    <x v="1"/>
    <d v="2024-04-03T00:00:00"/>
    <x v="3"/>
    <x v="2"/>
    <n v="37384.9"/>
    <n v="2000"/>
    <n v="35384.9"/>
    <n v="94.650245999999996"/>
  </r>
  <r>
    <s v="O0969"/>
    <x v="167"/>
    <x v="2"/>
    <d v="2024-10-28T00:00:00"/>
    <x v="0"/>
    <x v="0"/>
    <n v="21046.55"/>
    <n v="500"/>
    <n v="20546.55"/>
    <n v="97.624313999999998"/>
  </r>
  <r>
    <s v="O0970"/>
    <x v="171"/>
    <x v="0"/>
    <d v="2024-07-10T00:00:00"/>
    <x v="4"/>
    <x v="1"/>
    <n v="43633.13"/>
    <n v="12000"/>
    <n v="31633.13"/>
    <n v="72.497962000000001"/>
  </r>
  <r>
    <s v="O0971"/>
    <x v="164"/>
    <x v="3"/>
    <d v="2024-10-19T00:00:00"/>
    <x v="0"/>
    <x v="0"/>
    <n v="29063.35"/>
    <n v="500"/>
    <n v="28563.35"/>
    <n v="98.279619999999994"/>
  </r>
  <r>
    <s v="O0972"/>
    <x v="30"/>
    <x v="0"/>
    <d v="2024-07-26T00:00:00"/>
    <x v="4"/>
    <x v="0"/>
    <n v="50093.69"/>
    <n v="500"/>
    <n v="49593.69"/>
    <n v="99.001869999999997"/>
  </r>
  <r>
    <s v="O0973"/>
    <x v="167"/>
    <x v="2"/>
    <d v="2024-03-07T00:00:00"/>
    <x v="1"/>
    <x v="2"/>
    <n v="10306.879999999999"/>
    <n v="2000"/>
    <n v="8306.8799999999992"/>
    <n v="80.595485999999994"/>
  </r>
  <r>
    <s v="O0974"/>
    <x v="150"/>
    <x v="3"/>
    <d v="2024-04-04T00:00:00"/>
    <x v="3"/>
    <x v="3"/>
    <n v="14379.78"/>
    <n v="30000"/>
    <n v="-15620.22"/>
    <n v="-108.626279"/>
  </r>
  <r>
    <s v="O0975"/>
    <x v="117"/>
    <x v="3"/>
    <d v="2024-09-06T00:00:00"/>
    <x v="2"/>
    <x v="2"/>
    <n v="40103.629999999997"/>
    <n v="2000"/>
    <n v="38103.629999999997"/>
    <n v="95.012919999999994"/>
  </r>
  <r>
    <s v="O0976"/>
    <x v="63"/>
    <x v="1"/>
    <d v="2024-09-09T00:00:00"/>
    <x v="2"/>
    <x v="0"/>
    <n v="43070.84"/>
    <n v="500"/>
    <n v="42570.84"/>
    <n v="98.839122000000003"/>
  </r>
  <r>
    <s v="O0977"/>
    <x v="98"/>
    <x v="0"/>
    <d v="2024-01-29T00:00:00"/>
    <x v="7"/>
    <x v="2"/>
    <n v="18812.099999999999"/>
    <n v="2000"/>
    <n v="16812.099999999999"/>
    <n v="89.368544999999997"/>
  </r>
  <r>
    <s v="O0978"/>
    <x v="74"/>
    <x v="1"/>
    <d v="2024-06-17T00:00:00"/>
    <x v="6"/>
    <x v="2"/>
    <n v="16129.64"/>
    <n v="2000"/>
    <n v="14129.64"/>
    <n v="87.600466999999995"/>
  </r>
  <r>
    <s v="O0979"/>
    <x v="6"/>
    <x v="0"/>
    <d v="2024-02-19T00:00:00"/>
    <x v="9"/>
    <x v="1"/>
    <n v="4382.46"/>
    <n v="12000"/>
    <n v="-7617.54"/>
    <n v="-173.818814"/>
  </r>
  <r>
    <s v="O0980"/>
    <x v="5"/>
    <x v="0"/>
    <d v="2024-09-26T00:00:00"/>
    <x v="2"/>
    <x v="0"/>
    <n v="29129.52"/>
    <n v="500"/>
    <n v="28629.52"/>
    <n v="98.283528000000004"/>
  </r>
  <r>
    <s v="O0981"/>
    <x v="67"/>
    <x v="0"/>
    <d v="2024-03-10T00:00:00"/>
    <x v="1"/>
    <x v="1"/>
    <n v="35601.35"/>
    <n v="12000"/>
    <n v="23601.35"/>
    <n v="66.293413000000001"/>
  </r>
  <r>
    <s v="O0982"/>
    <x v="175"/>
    <x v="1"/>
    <d v="2024-11-23T00:00:00"/>
    <x v="10"/>
    <x v="2"/>
    <n v="18024.79"/>
    <n v="2000"/>
    <n v="16024.79"/>
    <n v="88.904169999999993"/>
  </r>
  <r>
    <s v="O0983"/>
    <x v="23"/>
    <x v="2"/>
    <d v="2024-02-02T00:00:00"/>
    <x v="9"/>
    <x v="2"/>
    <n v="19938.78"/>
    <n v="2000"/>
    <n v="17938.78"/>
    <n v="89.969296"/>
  </r>
  <r>
    <s v="O0984"/>
    <x v="160"/>
    <x v="0"/>
    <d v="2024-08-18T00:00:00"/>
    <x v="8"/>
    <x v="1"/>
    <n v="14182.44"/>
    <n v="12000"/>
    <n v="2182.44"/>
    <n v="15.388325"/>
  </r>
  <r>
    <s v="O0985"/>
    <x v="68"/>
    <x v="3"/>
    <d v="2024-05-09T00:00:00"/>
    <x v="5"/>
    <x v="3"/>
    <n v="8483.3799999999992"/>
    <n v="30000"/>
    <n v="-21516.62"/>
    <n v="-253.632632"/>
  </r>
  <r>
    <s v="O0986"/>
    <x v="14"/>
    <x v="2"/>
    <d v="2024-12-22T00:00:00"/>
    <x v="11"/>
    <x v="1"/>
    <n v="1158.73"/>
    <n v="12000"/>
    <n v="-10841.27"/>
    <n v="-935.61658"/>
  </r>
  <r>
    <s v="O0987"/>
    <x v="128"/>
    <x v="2"/>
    <d v="2024-07-24T00:00:00"/>
    <x v="4"/>
    <x v="1"/>
    <n v="32168.48"/>
    <n v="12000"/>
    <n v="20168.48"/>
    <n v="62.696402999999997"/>
  </r>
  <r>
    <s v="O0988"/>
    <x v="98"/>
    <x v="0"/>
    <d v="2024-06-21T00:00:00"/>
    <x v="6"/>
    <x v="1"/>
    <n v="1433.7"/>
    <n v="12000"/>
    <n v="-10566.3"/>
    <n v="-736.99518699999999"/>
  </r>
  <r>
    <s v="O0989"/>
    <x v="36"/>
    <x v="3"/>
    <d v="2024-08-24T00:00:00"/>
    <x v="8"/>
    <x v="0"/>
    <n v="32272.799999999999"/>
    <n v="500"/>
    <n v="31772.799999999999"/>
    <n v="98.450708000000006"/>
  </r>
  <r>
    <s v="O0990"/>
    <x v="67"/>
    <x v="0"/>
    <d v="2024-11-15T00:00:00"/>
    <x v="10"/>
    <x v="2"/>
    <n v="38487.65"/>
    <n v="2000"/>
    <n v="36487.65"/>
    <n v="94.803528"/>
  </r>
  <r>
    <s v="O0991"/>
    <x v="20"/>
    <x v="3"/>
    <d v="2024-07-13T00:00:00"/>
    <x v="4"/>
    <x v="0"/>
    <n v="11500.24"/>
    <n v="500"/>
    <n v="11000.24"/>
    <n v="95.652265"/>
  </r>
  <r>
    <s v="O0992"/>
    <x v="159"/>
    <x v="2"/>
    <d v="2024-04-01T00:00:00"/>
    <x v="3"/>
    <x v="3"/>
    <n v="44855.83"/>
    <n v="30000"/>
    <n v="14855.83"/>
    <n v="33.119062"/>
  </r>
  <r>
    <s v="O0993"/>
    <x v="124"/>
    <x v="0"/>
    <d v="2024-11-13T00:00:00"/>
    <x v="10"/>
    <x v="2"/>
    <n v="2291.98"/>
    <n v="2000"/>
    <n v="291.98"/>
    <n v="12.739204000000001"/>
  </r>
  <r>
    <s v="O0994"/>
    <x v="83"/>
    <x v="1"/>
    <d v="2024-07-04T00:00:00"/>
    <x v="4"/>
    <x v="0"/>
    <n v="15200.6"/>
    <n v="500"/>
    <n v="14700.6"/>
    <n v="96.710656"/>
  </r>
  <r>
    <s v="O0995"/>
    <x v="115"/>
    <x v="0"/>
    <d v="2024-05-18T00:00:00"/>
    <x v="5"/>
    <x v="0"/>
    <n v="48439.37"/>
    <n v="500"/>
    <n v="47939.37"/>
    <n v="98.967782"/>
  </r>
  <r>
    <s v="O0996"/>
    <x v="123"/>
    <x v="1"/>
    <d v="2024-01-16T00:00:00"/>
    <x v="7"/>
    <x v="0"/>
    <n v="38831.35"/>
    <n v="500"/>
    <n v="38331.35"/>
    <n v="98.712380999999993"/>
  </r>
  <r>
    <s v="O0997"/>
    <x v="71"/>
    <x v="3"/>
    <d v="2024-06-07T00:00:00"/>
    <x v="6"/>
    <x v="2"/>
    <n v="39975.86"/>
    <n v="2000"/>
    <n v="37975.86"/>
    <n v="94.996981000000005"/>
  </r>
  <r>
    <s v="O0998"/>
    <x v="29"/>
    <x v="0"/>
    <d v="2024-02-28T00:00:00"/>
    <x v="9"/>
    <x v="2"/>
    <n v="12873.86"/>
    <n v="2000"/>
    <n v="10873.86"/>
    <n v="84.464644000000007"/>
  </r>
  <r>
    <s v="O0999"/>
    <x v="5"/>
    <x v="0"/>
    <d v="2024-06-13T00:00:00"/>
    <x v="6"/>
    <x v="2"/>
    <n v="9312.81"/>
    <n v="2000"/>
    <n v="7312.81"/>
    <n v="78.524204999999995"/>
  </r>
  <r>
    <s v="O1000"/>
    <x v="69"/>
    <x v="0"/>
    <d v="2024-05-16T00:00:00"/>
    <x v="5"/>
    <x v="0"/>
    <n v="42542.1"/>
    <n v="500"/>
    <n v="42042.1"/>
    <n v="98.824693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21910-75F3-4D5E-B2B2-D398355643A8}" name="PivotTable1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67:B172" firstHeaderRow="1" firstDataRow="1" firstDataCol="1"/>
  <pivotFields count="10">
    <pivotField showAll="0"/>
    <pivotField showAll="0">
      <items count="201">
        <item x="42"/>
        <item x="54"/>
        <item x="40"/>
        <item x="192"/>
        <item x="115"/>
        <item x="24"/>
        <item x="62"/>
        <item x="59"/>
        <item x="81"/>
        <item x="45"/>
        <item x="182"/>
        <item x="106"/>
        <item x="37"/>
        <item x="140"/>
        <item x="108"/>
        <item x="112"/>
        <item x="28"/>
        <item x="29"/>
        <item x="150"/>
        <item x="92"/>
        <item x="173"/>
        <item x="36"/>
        <item x="170"/>
        <item x="96"/>
        <item x="78"/>
        <item x="187"/>
        <item x="72"/>
        <item x="41"/>
        <item x="177"/>
        <item x="18"/>
        <item x="198"/>
        <item x="197"/>
        <item x="163"/>
        <item x="190"/>
        <item x="120"/>
        <item x="17"/>
        <item x="125"/>
        <item x="71"/>
        <item x="2"/>
        <item x="47"/>
        <item x="188"/>
        <item x="152"/>
        <item x="95"/>
        <item x="102"/>
        <item x="114"/>
        <item x="176"/>
        <item x="67"/>
        <item x="10"/>
        <item x="147"/>
        <item x="5"/>
        <item x="74"/>
        <item x="179"/>
        <item x="142"/>
        <item x="22"/>
        <item x="79"/>
        <item x="185"/>
        <item x="181"/>
        <item x="33"/>
        <item x="69"/>
        <item x="134"/>
        <item x="135"/>
        <item x="35"/>
        <item x="57"/>
        <item x="27"/>
        <item x="195"/>
        <item x="76"/>
        <item x="101"/>
        <item x="157"/>
        <item x="25"/>
        <item x="50"/>
        <item x="183"/>
        <item x="199"/>
        <item x="194"/>
        <item x="66"/>
        <item x="159"/>
        <item x="171"/>
        <item x="138"/>
        <item x="158"/>
        <item x="141"/>
        <item x="55"/>
        <item x="168"/>
        <item x="46"/>
        <item x="19"/>
        <item x="85"/>
        <item x="32"/>
        <item x="86"/>
        <item x="196"/>
        <item x="61"/>
        <item x="91"/>
        <item x="186"/>
        <item x="128"/>
        <item x="111"/>
        <item x="126"/>
        <item x="113"/>
        <item x="133"/>
        <item x="172"/>
        <item x="77"/>
        <item x="169"/>
        <item x="118"/>
        <item x="184"/>
        <item x="156"/>
        <item x="107"/>
        <item x="68"/>
        <item x="165"/>
        <item x="97"/>
        <item x="39"/>
        <item x="103"/>
        <item x="11"/>
        <item x="21"/>
        <item x="145"/>
        <item x="127"/>
        <item x="4"/>
        <item x="1"/>
        <item x="20"/>
        <item x="23"/>
        <item x="160"/>
        <item x="13"/>
        <item x="49"/>
        <item x="60"/>
        <item x="116"/>
        <item x="7"/>
        <item x="124"/>
        <item x="9"/>
        <item x="48"/>
        <item x="31"/>
        <item x="175"/>
        <item x="16"/>
        <item x="30"/>
        <item x="100"/>
        <item x="161"/>
        <item x="154"/>
        <item x="180"/>
        <item x="136"/>
        <item x="151"/>
        <item x="164"/>
        <item x="174"/>
        <item x="26"/>
        <item x="51"/>
        <item x="104"/>
        <item x="155"/>
        <item x="43"/>
        <item x="109"/>
        <item x="94"/>
        <item x="167"/>
        <item x="34"/>
        <item x="153"/>
        <item x="87"/>
        <item x="80"/>
        <item x="64"/>
        <item x="38"/>
        <item x="70"/>
        <item x="146"/>
        <item x="148"/>
        <item x="99"/>
        <item x="12"/>
        <item x="129"/>
        <item x="166"/>
        <item x="3"/>
        <item x="84"/>
        <item x="6"/>
        <item x="73"/>
        <item x="189"/>
        <item x="123"/>
        <item x="53"/>
        <item x="75"/>
        <item x="149"/>
        <item x="14"/>
        <item x="144"/>
        <item x="58"/>
        <item x="130"/>
        <item x="93"/>
        <item x="83"/>
        <item x="88"/>
        <item x="121"/>
        <item x="162"/>
        <item x="132"/>
        <item x="143"/>
        <item x="105"/>
        <item x="63"/>
        <item x="191"/>
        <item x="89"/>
        <item x="52"/>
        <item x="8"/>
        <item x="82"/>
        <item x="137"/>
        <item x="90"/>
        <item x="65"/>
        <item x="193"/>
        <item x="139"/>
        <item x="178"/>
        <item x="117"/>
        <item x="98"/>
        <item x="56"/>
        <item x="110"/>
        <item x="44"/>
        <item x="15"/>
        <item x="122"/>
        <item x="119"/>
        <item x="13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numFmtId="14" showAll="0"/>
    <pivotField showAll="0" sortType="descending" defaultSubtotal="0">
      <items count="12">
        <item x="11"/>
        <item x="10"/>
        <item x="0"/>
        <item x="2"/>
        <item x="8"/>
        <item x="4"/>
        <item x="6"/>
        <item x="5"/>
        <item x="3"/>
        <item x="1"/>
        <item x="9"/>
        <item x="7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5A99A-7681-4D7F-8307-9C7D1B47A227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0:B155" firstHeaderRow="1" firstDataRow="1" firstDataCol="1"/>
  <pivotFields count="10">
    <pivotField showAll="0"/>
    <pivotField showAll="0">
      <items count="201">
        <item x="42"/>
        <item x="54"/>
        <item x="40"/>
        <item x="192"/>
        <item x="115"/>
        <item x="24"/>
        <item x="62"/>
        <item x="59"/>
        <item x="81"/>
        <item x="45"/>
        <item x="182"/>
        <item x="106"/>
        <item x="37"/>
        <item x="140"/>
        <item x="108"/>
        <item x="112"/>
        <item x="28"/>
        <item x="29"/>
        <item x="150"/>
        <item x="92"/>
        <item x="173"/>
        <item x="36"/>
        <item x="170"/>
        <item x="96"/>
        <item x="78"/>
        <item x="187"/>
        <item x="72"/>
        <item x="41"/>
        <item x="177"/>
        <item x="18"/>
        <item x="198"/>
        <item x="197"/>
        <item x="163"/>
        <item x="190"/>
        <item x="120"/>
        <item x="17"/>
        <item x="125"/>
        <item x="71"/>
        <item x="2"/>
        <item x="47"/>
        <item x="188"/>
        <item x="152"/>
        <item x="95"/>
        <item x="102"/>
        <item x="114"/>
        <item x="176"/>
        <item x="67"/>
        <item x="10"/>
        <item x="147"/>
        <item x="5"/>
        <item x="74"/>
        <item x="179"/>
        <item x="142"/>
        <item x="22"/>
        <item x="79"/>
        <item x="185"/>
        <item x="181"/>
        <item x="33"/>
        <item x="69"/>
        <item x="134"/>
        <item x="135"/>
        <item x="35"/>
        <item x="57"/>
        <item x="27"/>
        <item x="195"/>
        <item x="76"/>
        <item x="101"/>
        <item x="157"/>
        <item x="25"/>
        <item x="50"/>
        <item x="183"/>
        <item x="199"/>
        <item x="194"/>
        <item x="66"/>
        <item x="159"/>
        <item x="171"/>
        <item x="138"/>
        <item x="158"/>
        <item x="141"/>
        <item x="55"/>
        <item x="168"/>
        <item x="46"/>
        <item x="19"/>
        <item x="85"/>
        <item x="32"/>
        <item x="86"/>
        <item x="196"/>
        <item x="61"/>
        <item x="91"/>
        <item x="186"/>
        <item x="128"/>
        <item x="111"/>
        <item x="126"/>
        <item x="113"/>
        <item x="133"/>
        <item x="172"/>
        <item x="77"/>
        <item x="169"/>
        <item x="118"/>
        <item x="184"/>
        <item x="156"/>
        <item x="107"/>
        <item x="68"/>
        <item x="165"/>
        <item x="97"/>
        <item x="39"/>
        <item x="103"/>
        <item x="11"/>
        <item x="21"/>
        <item x="145"/>
        <item x="127"/>
        <item x="4"/>
        <item x="1"/>
        <item x="20"/>
        <item x="23"/>
        <item x="160"/>
        <item x="13"/>
        <item x="49"/>
        <item x="60"/>
        <item x="116"/>
        <item x="7"/>
        <item x="124"/>
        <item x="9"/>
        <item x="48"/>
        <item x="31"/>
        <item x="175"/>
        <item x="16"/>
        <item x="30"/>
        <item x="100"/>
        <item x="161"/>
        <item x="154"/>
        <item x="180"/>
        <item x="136"/>
        <item x="151"/>
        <item x="164"/>
        <item x="174"/>
        <item x="26"/>
        <item x="51"/>
        <item x="104"/>
        <item x="155"/>
        <item x="43"/>
        <item x="109"/>
        <item x="94"/>
        <item x="167"/>
        <item x="34"/>
        <item x="153"/>
        <item x="87"/>
        <item x="80"/>
        <item x="64"/>
        <item x="38"/>
        <item x="70"/>
        <item x="146"/>
        <item x="148"/>
        <item x="99"/>
        <item x="12"/>
        <item x="129"/>
        <item x="166"/>
        <item x="3"/>
        <item x="84"/>
        <item x="6"/>
        <item x="73"/>
        <item x="189"/>
        <item x="123"/>
        <item x="53"/>
        <item x="75"/>
        <item x="149"/>
        <item x="14"/>
        <item x="144"/>
        <item x="58"/>
        <item x="130"/>
        <item x="93"/>
        <item x="83"/>
        <item x="88"/>
        <item x="121"/>
        <item x="162"/>
        <item x="132"/>
        <item x="143"/>
        <item x="105"/>
        <item x="63"/>
        <item x="191"/>
        <item x="89"/>
        <item x="52"/>
        <item x="8"/>
        <item x="82"/>
        <item x="137"/>
        <item x="90"/>
        <item x="65"/>
        <item x="193"/>
        <item x="139"/>
        <item x="178"/>
        <item x="117"/>
        <item x="98"/>
        <item x="56"/>
        <item x="110"/>
        <item x="44"/>
        <item x="15"/>
        <item x="122"/>
        <item x="119"/>
        <item x="131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numFmtId="14" showAll="0"/>
    <pivotField showAll="0" sortType="descending" defaultSubtotal="0">
      <items count="12">
        <item x="11"/>
        <item x="10"/>
        <item x="0"/>
        <item x="2"/>
        <item x="8"/>
        <item x="4"/>
        <item x="6"/>
        <item x="5"/>
        <item x="3"/>
        <item x="1"/>
        <item x="9"/>
        <item x="7"/>
      </items>
    </pivotField>
    <pivotField axis="axisRow"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BC8C4-CA86-43E5-9528-28811E8835F0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29:B140" firstHeaderRow="1" firstDataRow="1" firstDataCol="1"/>
  <pivotFields count="10">
    <pivotField showAll="0"/>
    <pivotField axis="axisRow" showAll="0" measureFilter="1" sortType="ascending">
      <items count="201">
        <item x="42"/>
        <item x="54"/>
        <item x="40"/>
        <item x="192"/>
        <item x="115"/>
        <item x="24"/>
        <item x="62"/>
        <item x="59"/>
        <item x="81"/>
        <item x="45"/>
        <item x="182"/>
        <item x="106"/>
        <item x="37"/>
        <item x="140"/>
        <item x="108"/>
        <item x="112"/>
        <item x="28"/>
        <item x="29"/>
        <item x="150"/>
        <item x="92"/>
        <item x="173"/>
        <item x="36"/>
        <item x="170"/>
        <item x="96"/>
        <item x="78"/>
        <item x="187"/>
        <item x="72"/>
        <item x="41"/>
        <item x="177"/>
        <item x="18"/>
        <item x="198"/>
        <item x="197"/>
        <item x="163"/>
        <item x="190"/>
        <item x="120"/>
        <item x="17"/>
        <item x="125"/>
        <item x="71"/>
        <item x="2"/>
        <item x="47"/>
        <item x="188"/>
        <item x="152"/>
        <item x="95"/>
        <item x="102"/>
        <item x="114"/>
        <item x="176"/>
        <item x="67"/>
        <item x="10"/>
        <item x="147"/>
        <item x="5"/>
        <item x="74"/>
        <item x="179"/>
        <item x="142"/>
        <item x="22"/>
        <item x="79"/>
        <item x="185"/>
        <item x="181"/>
        <item x="33"/>
        <item x="69"/>
        <item x="134"/>
        <item x="135"/>
        <item x="35"/>
        <item x="57"/>
        <item x="27"/>
        <item x="195"/>
        <item x="76"/>
        <item x="101"/>
        <item x="157"/>
        <item x="25"/>
        <item x="50"/>
        <item x="183"/>
        <item x="199"/>
        <item x="194"/>
        <item x="66"/>
        <item x="159"/>
        <item x="171"/>
        <item x="138"/>
        <item x="158"/>
        <item x="141"/>
        <item x="55"/>
        <item x="168"/>
        <item x="46"/>
        <item x="19"/>
        <item x="85"/>
        <item x="32"/>
        <item x="86"/>
        <item x="196"/>
        <item x="61"/>
        <item x="91"/>
        <item x="186"/>
        <item x="128"/>
        <item x="111"/>
        <item x="126"/>
        <item x="113"/>
        <item x="133"/>
        <item x="172"/>
        <item x="77"/>
        <item x="169"/>
        <item x="118"/>
        <item x="184"/>
        <item x="156"/>
        <item x="107"/>
        <item x="68"/>
        <item x="165"/>
        <item x="97"/>
        <item x="39"/>
        <item x="103"/>
        <item x="11"/>
        <item x="21"/>
        <item x="145"/>
        <item x="127"/>
        <item x="4"/>
        <item x="1"/>
        <item x="20"/>
        <item x="23"/>
        <item x="160"/>
        <item x="13"/>
        <item x="49"/>
        <item x="60"/>
        <item x="116"/>
        <item x="7"/>
        <item x="124"/>
        <item x="9"/>
        <item x="48"/>
        <item x="31"/>
        <item x="175"/>
        <item x="16"/>
        <item x="30"/>
        <item x="100"/>
        <item x="161"/>
        <item x="154"/>
        <item x="180"/>
        <item x="136"/>
        <item x="151"/>
        <item x="164"/>
        <item x="174"/>
        <item x="26"/>
        <item x="51"/>
        <item x="104"/>
        <item x="155"/>
        <item x="43"/>
        <item x="109"/>
        <item x="94"/>
        <item x="167"/>
        <item x="34"/>
        <item x="153"/>
        <item x="87"/>
        <item x="80"/>
        <item x="64"/>
        <item x="38"/>
        <item x="70"/>
        <item x="146"/>
        <item x="148"/>
        <item x="99"/>
        <item x="12"/>
        <item x="129"/>
        <item x="166"/>
        <item x="3"/>
        <item x="84"/>
        <item x="6"/>
        <item x="73"/>
        <item x="189"/>
        <item x="123"/>
        <item x="53"/>
        <item x="75"/>
        <item x="149"/>
        <item x="14"/>
        <item x="144"/>
        <item x="58"/>
        <item x="130"/>
        <item x="93"/>
        <item x="83"/>
        <item x="88"/>
        <item x="121"/>
        <item x="162"/>
        <item x="132"/>
        <item x="143"/>
        <item x="105"/>
        <item x="63"/>
        <item x="191"/>
        <item x="89"/>
        <item x="52"/>
        <item x="8"/>
        <item x="82"/>
        <item x="137"/>
        <item x="90"/>
        <item x="65"/>
        <item x="193"/>
        <item x="139"/>
        <item x="178"/>
        <item x="117"/>
        <item x="98"/>
        <item x="56"/>
        <item x="110"/>
        <item x="44"/>
        <item x="15"/>
        <item x="122"/>
        <item x="119"/>
        <item x="13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2"/>
        <item x="1"/>
        <item x="0"/>
        <item t="default"/>
      </items>
    </pivotField>
    <pivotField numFmtId="14" showAll="0"/>
    <pivotField showAll="0" sortType="descending" defaultSubtotal="0">
      <items count="12">
        <item x="11"/>
        <item x="10"/>
        <item x="0"/>
        <item x="2"/>
        <item x="8"/>
        <item x="4"/>
        <item x="6"/>
        <item x="5"/>
        <item x="3"/>
        <item x="1"/>
        <item x="9"/>
        <item x="7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1">
    <i>
      <x v="166"/>
    </i>
    <i>
      <x v="90"/>
    </i>
    <i>
      <x v="24"/>
    </i>
    <i>
      <x v="136"/>
    </i>
    <i>
      <x v="56"/>
    </i>
    <i>
      <x v="128"/>
    </i>
    <i>
      <x v="106"/>
    </i>
    <i>
      <x v="61"/>
    </i>
    <i>
      <x v="196"/>
    </i>
    <i>
      <x v="46"/>
    </i>
    <i t="grand">
      <x/>
    </i>
  </rowItems>
  <colItems count="1">
    <i/>
  </colItems>
  <dataFields count="1">
    <dataField name="Sum of sales" fld="6" baseField="0" baseItem="0"/>
  </dataFields>
  <formats count="1">
    <format dxfId="2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8650F-6FC7-4E8B-9E4A-BCD98AF056CE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7:B120" firstHeaderRow="1" firstDataRow="1" firstDataCol="1"/>
  <pivotFields count="10"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numFmtId="14" showAll="0"/>
    <pivotField axis="axisRow" showAll="0" sortType="descending" defaultSubtotal="0">
      <items count="12">
        <item x="11"/>
        <item x="10"/>
        <item x="0"/>
        <item x="2"/>
        <item x="8"/>
        <item x="4"/>
        <item x="6"/>
        <item x="5"/>
        <item x="3"/>
        <item x="1"/>
        <item x="9"/>
        <item x="7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8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557F2-A6CF-4971-BF10-DA68F69F5C2A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4:B97" firstHeaderRow="1" firstDataRow="1" firstDataCol="1"/>
  <pivotFields count="10"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numFmtId="14" showAll="0"/>
    <pivotField axis="axisRow" showAll="0" sortType="descending">
      <items count="13">
        <item x="11"/>
        <item x="10"/>
        <item x="0"/>
        <item x="2"/>
        <item x="8"/>
        <item x="4"/>
        <item x="6"/>
        <item x="5"/>
        <item x="3"/>
        <item x="1"/>
        <item x="9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5AD62-F936-4BAE-AE6B-6AE809366E6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7:A68" firstHeaderRow="1" firstDataRow="1" firstDataCol="0" rowPageCount="1" colPageCount="1"/>
  <pivotFields count="10">
    <pivotField dataField="1" showAll="0"/>
    <pivotField axis="axisPage" showAll="0">
      <items count="201">
        <item x="42"/>
        <item x="54"/>
        <item x="40"/>
        <item x="192"/>
        <item x="115"/>
        <item x="24"/>
        <item x="62"/>
        <item x="59"/>
        <item x="81"/>
        <item x="45"/>
        <item x="182"/>
        <item x="106"/>
        <item x="37"/>
        <item x="140"/>
        <item x="108"/>
        <item x="112"/>
        <item x="28"/>
        <item x="29"/>
        <item x="150"/>
        <item x="92"/>
        <item x="173"/>
        <item x="36"/>
        <item x="170"/>
        <item x="96"/>
        <item x="78"/>
        <item x="187"/>
        <item x="72"/>
        <item x="41"/>
        <item x="177"/>
        <item x="18"/>
        <item x="198"/>
        <item x="197"/>
        <item x="163"/>
        <item x="190"/>
        <item x="120"/>
        <item x="17"/>
        <item x="125"/>
        <item x="71"/>
        <item x="2"/>
        <item x="47"/>
        <item x="188"/>
        <item x="152"/>
        <item x="95"/>
        <item x="102"/>
        <item x="114"/>
        <item x="176"/>
        <item x="67"/>
        <item x="10"/>
        <item x="147"/>
        <item x="5"/>
        <item x="74"/>
        <item x="179"/>
        <item x="142"/>
        <item x="22"/>
        <item x="79"/>
        <item x="185"/>
        <item x="181"/>
        <item x="33"/>
        <item x="69"/>
        <item x="134"/>
        <item x="135"/>
        <item x="35"/>
        <item x="57"/>
        <item x="27"/>
        <item x="195"/>
        <item x="76"/>
        <item x="101"/>
        <item x="157"/>
        <item x="25"/>
        <item x="50"/>
        <item x="183"/>
        <item x="199"/>
        <item x="194"/>
        <item x="66"/>
        <item x="159"/>
        <item x="171"/>
        <item x="138"/>
        <item x="158"/>
        <item x="141"/>
        <item x="55"/>
        <item x="168"/>
        <item x="46"/>
        <item x="19"/>
        <item x="85"/>
        <item x="32"/>
        <item x="86"/>
        <item x="196"/>
        <item x="61"/>
        <item x="91"/>
        <item x="186"/>
        <item x="128"/>
        <item x="111"/>
        <item x="126"/>
        <item x="113"/>
        <item x="133"/>
        <item x="172"/>
        <item x="77"/>
        <item x="169"/>
        <item x="118"/>
        <item x="184"/>
        <item x="156"/>
        <item x="107"/>
        <item x="68"/>
        <item x="165"/>
        <item x="97"/>
        <item x="39"/>
        <item x="103"/>
        <item x="11"/>
        <item x="21"/>
        <item x="145"/>
        <item x="127"/>
        <item x="4"/>
        <item x="1"/>
        <item x="20"/>
        <item x="23"/>
        <item x="160"/>
        <item x="13"/>
        <item x="49"/>
        <item x="60"/>
        <item x="116"/>
        <item x="7"/>
        <item x="124"/>
        <item x="9"/>
        <item x="48"/>
        <item x="31"/>
        <item x="175"/>
        <item x="16"/>
        <item x="30"/>
        <item x="100"/>
        <item x="161"/>
        <item x="154"/>
        <item x="180"/>
        <item x="136"/>
        <item x="151"/>
        <item x="164"/>
        <item x="174"/>
        <item x="26"/>
        <item x="51"/>
        <item x="104"/>
        <item x="155"/>
        <item x="43"/>
        <item x="109"/>
        <item x="94"/>
        <item x="167"/>
        <item x="34"/>
        <item x="153"/>
        <item x="87"/>
        <item x="80"/>
        <item x="64"/>
        <item x="38"/>
        <item x="70"/>
        <item x="146"/>
        <item x="148"/>
        <item x="99"/>
        <item x="12"/>
        <item x="129"/>
        <item x="166"/>
        <item x="3"/>
        <item x="84"/>
        <item x="6"/>
        <item x="73"/>
        <item x="189"/>
        <item x="123"/>
        <item x="53"/>
        <item x="75"/>
        <item x="149"/>
        <item x="14"/>
        <item x="144"/>
        <item x="58"/>
        <item x="130"/>
        <item x="93"/>
        <item x="83"/>
        <item x="88"/>
        <item x="121"/>
        <item x="162"/>
        <item x="132"/>
        <item x="143"/>
        <item x="105"/>
        <item x="63"/>
        <item x="191"/>
        <item x="89"/>
        <item x="52"/>
        <item x="8"/>
        <item x="82"/>
        <item x="137"/>
        <item x="90"/>
        <item x="65"/>
        <item x="193"/>
        <item x="139"/>
        <item x="178"/>
        <item x="117"/>
        <item x="98"/>
        <item x="56"/>
        <item x="110"/>
        <item x="44"/>
        <item x="15"/>
        <item x="122"/>
        <item x="119"/>
        <item x="131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numFmtId="14" showAll="0"/>
    <pivotField showAll="0">
      <items count="13">
        <item x="7"/>
        <item x="9"/>
        <item x="1"/>
        <item x="3"/>
        <item x="5"/>
        <item x="6"/>
        <item x="4"/>
        <item x="8"/>
        <item x="2"/>
        <item x="0"/>
        <item x="10"/>
        <item x="1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pageFields count="1">
    <pageField fld="1" hier="-1"/>
  </pageFields>
  <dataFields count="1">
    <dataField name="Count of order_id" fld="0" subtotal="count" baseField="0" baseItem="0"/>
  </dataFields>
  <formats count="1">
    <format dxfId="5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7DCE0-DECB-4840-9683-8DAA950E7C4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0:B55" firstHeaderRow="1" firstDataRow="1" firstDataCol="1"/>
  <pivotFields count="10"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numFmtId="14" showAll="0"/>
    <pivotField showAll="0">
      <items count="13">
        <item x="7"/>
        <item x="9"/>
        <item x="1"/>
        <item x="3"/>
        <item x="5"/>
        <item x="6"/>
        <item x="4"/>
        <item x="8"/>
        <item x="2"/>
        <item x="0"/>
        <item x="10"/>
        <item x="1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1">
    <format dxfId="6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BF8BE-6F20-426D-8826-558DBA1FCDA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5:B40" firstHeaderRow="1" firstDataRow="1" firstDataCol="1"/>
  <pivotFields count="10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14" showAll="0"/>
    <pivotField showAll="0">
      <items count="13">
        <item x="7"/>
        <item x="9"/>
        <item x="1"/>
        <item x="3"/>
        <item x="5"/>
        <item x="6"/>
        <item x="4"/>
        <item x="8"/>
        <item x="2"/>
        <item x="0"/>
        <item x="10"/>
        <item x="1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D2F71-F652-4891-BB03-609203EB6F1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B27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13">
        <item x="7"/>
        <item x="9"/>
        <item x="1"/>
        <item x="3"/>
        <item x="5"/>
        <item x="6"/>
        <item x="4"/>
        <item x="8"/>
        <item x="2"/>
        <item x="0"/>
        <item x="10"/>
        <item x="1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2F1C-C5DC-493B-A906-1B40E29D5281}">
  <dimension ref="A1:J1001"/>
  <sheetViews>
    <sheetView tabSelected="1" workbookViewId="0">
      <selection activeCell="K2" sqref="K2"/>
    </sheetView>
  </sheetViews>
  <sheetFormatPr defaultRowHeight="14.4" x14ac:dyDescent="0.3"/>
  <cols>
    <col min="1" max="1" width="10.109375" bestFit="1" customWidth="1"/>
    <col min="2" max="2" width="13.33203125" bestFit="1" customWidth="1"/>
    <col min="3" max="3" width="8.33203125" bestFit="1" customWidth="1"/>
    <col min="4" max="4" width="12.33203125" bestFit="1" customWidth="1"/>
    <col min="5" max="5" width="14" bestFit="1" customWidth="1"/>
    <col min="6" max="6" width="17.77734375" bestFit="1" customWidth="1"/>
    <col min="7" max="7" width="9" bestFit="1" customWidth="1"/>
    <col min="8" max="8" width="11.6640625" bestFit="1" customWidth="1"/>
    <col min="9" max="9" width="9.6640625" bestFit="1" customWidth="1"/>
    <col min="10" max="10" width="14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45574</v>
      </c>
      <c r="E2" t="s">
        <v>13</v>
      </c>
      <c r="F2" t="s">
        <v>14</v>
      </c>
      <c r="G2">
        <v>1880.41</v>
      </c>
      <c r="H2">
        <v>500</v>
      </c>
      <c r="I2">
        <v>1380.41</v>
      </c>
      <c r="J2">
        <v>73.410054000000002</v>
      </c>
    </row>
    <row r="3" spans="1:10" x14ac:dyDescent="0.3">
      <c r="A3" t="s">
        <v>15</v>
      </c>
      <c r="B3" t="s">
        <v>16</v>
      </c>
      <c r="C3" t="s">
        <v>17</v>
      </c>
      <c r="D3" s="1">
        <v>45375</v>
      </c>
      <c r="E3" t="s">
        <v>18</v>
      </c>
      <c r="F3" t="s">
        <v>19</v>
      </c>
      <c r="G3">
        <v>30119.759999999998</v>
      </c>
      <c r="H3">
        <v>12000</v>
      </c>
      <c r="I3">
        <v>18119.759999999998</v>
      </c>
      <c r="J3">
        <v>60.159044999999999</v>
      </c>
    </row>
    <row r="4" spans="1:10" x14ac:dyDescent="0.3">
      <c r="A4" t="s">
        <v>20</v>
      </c>
      <c r="B4" t="s">
        <v>21</v>
      </c>
      <c r="C4" t="s">
        <v>17</v>
      </c>
      <c r="D4" s="1">
        <v>45357</v>
      </c>
      <c r="E4" t="s">
        <v>18</v>
      </c>
      <c r="F4" t="s">
        <v>19</v>
      </c>
      <c r="G4">
        <v>4207.9399999999996</v>
      </c>
      <c r="H4">
        <v>12000</v>
      </c>
      <c r="I4">
        <v>-7792.06</v>
      </c>
      <c r="J4">
        <v>-185.17516900000001</v>
      </c>
    </row>
    <row r="5" spans="1:10" x14ac:dyDescent="0.3">
      <c r="A5" t="s">
        <v>22</v>
      </c>
      <c r="B5" t="s">
        <v>23</v>
      </c>
      <c r="C5" t="s">
        <v>12</v>
      </c>
      <c r="D5" s="1">
        <v>45561</v>
      </c>
      <c r="E5" t="s">
        <v>24</v>
      </c>
      <c r="F5" t="s">
        <v>19</v>
      </c>
      <c r="G5">
        <v>22111.11</v>
      </c>
      <c r="H5">
        <v>12000</v>
      </c>
      <c r="I5">
        <v>10111.11</v>
      </c>
      <c r="J5">
        <v>45.728639999999999</v>
      </c>
    </row>
    <row r="6" spans="1:10" x14ac:dyDescent="0.3">
      <c r="A6" t="s">
        <v>25</v>
      </c>
      <c r="B6" t="s">
        <v>26</v>
      </c>
      <c r="C6" t="s">
        <v>12</v>
      </c>
      <c r="D6" s="1">
        <v>45388</v>
      </c>
      <c r="E6" t="s">
        <v>27</v>
      </c>
      <c r="F6" t="s">
        <v>28</v>
      </c>
      <c r="G6">
        <v>25856.95</v>
      </c>
      <c r="H6">
        <v>2000</v>
      </c>
      <c r="I6">
        <v>23856.95</v>
      </c>
      <c r="J6">
        <v>92.265135999999998</v>
      </c>
    </row>
    <row r="7" spans="1:10" x14ac:dyDescent="0.3">
      <c r="A7" t="s">
        <v>29</v>
      </c>
      <c r="B7" t="s">
        <v>30</v>
      </c>
      <c r="C7" t="s">
        <v>12</v>
      </c>
      <c r="D7" s="1">
        <v>45503</v>
      </c>
      <c r="E7" t="s">
        <v>31</v>
      </c>
      <c r="F7" t="s">
        <v>32</v>
      </c>
      <c r="G7">
        <v>508.81</v>
      </c>
      <c r="H7">
        <v>30000</v>
      </c>
      <c r="I7">
        <v>-29491.19</v>
      </c>
      <c r="J7">
        <v>-5796.1105319999997</v>
      </c>
    </row>
    <row r="8" spans="1:10" x14ac:dyDescent="0.3">
      <c r="A8" t="s">
        <v>33</v>
      </c>
      <c r="B8" t="s">
        <v>34</v>
      </c>
      <c r="C8" t="s">
        <v>12</v>
      </c>
      <c r="D8" s="1">
        <v>45408</v>
      </c>
      <c r="E8" t="s">
        <v>27</v>
      </c>
      <c r="F8" t="s">
        <v>32</v>
      </c>
      <c r="G8">
        <v>1751.33</v>
      </c>
      <c r="H8">
        <v>30000</v>
      </c>
      <c r="I8">
        <v>-28248.67</v>
      </c>
      <c r="J8">
        <v>-1612.983847</v>
      </c>
    </row>
    <row r="9" spans="1:10" x14ac:dyDescent="0.3">
      <c r="A9" t="s">
        <v>35</v>
      </c>
      <c r="B9" t="s">
        <v>36</v>
      </c>
      <c r="C9" t="s">
        <v>17</v>
      </c>
      <c r="D9" s="1">
        <v>45439</v>
      </c>
      <c r="E9" t="s">
        <v>37</v>
      </c>
      <c r="F9" t="s">
        <v>32</v>
      </c>
      <c r="G9">
        <v>44070.44</v>
      </c>
      <c r="H9">
        <v>30000</v>
      </c>
      <c r="I9">
        <v>14070.44</v>
      </c>
      <c r="J9">
        <v>31.927160000000001</v>
      </c>
    </row>
    <row r="10" spans="1:10" x14ac:dyDescent="0.3">
      <c r="A10" t="s">
        <v>38</v>
      </c>
      <c r="B10" t="s">
        <v>39</v>
      </c>
      <c r="C10" t="s">
        <v>40</v>
      </c>
      <c r="D10" s="1">
        <v>45457</v>
      </c>
      <c r="E10" t="s">
        <v>41</v>
      </c>
      <c r="F10" t="s">
        <v>28</v>
      </c>
      <c r="G10">
        <v>12826.43</v>
      </c>
      <c r="H10">
        <v>2000</v>
      </c>
      <c r="I10">
        <v>10826.43</v>
      </c>
      <c r="J10">
        <v>84.407196999999996</v>
      </c>
    </row>
    <row r="11" spans="1:10" x14ac:dyDescent="0.3">
      <c r="A11" t="s">
        <v>42</v>
      </c>
      <c r="B11" t="s">
        <v>43</v>
      </c>
      <c r="C11" t="s">
        <v>40</v>
      </c>
      <c r="D11" s="1">
        <v>45309</v>
      </c>
      <c r="E11" t="s">
        <v>44</v>
      </c>
      <c r="F11" t="s">
        <v>19</v>
      </c>
      <c r="G11">
        <v>44364.41</v>
      </c>
      <c r="H11">
        <v>12000</v>
      </c>
      <c r="I11">
        <v>32364.41</v>
      </c>
      <c r="J11">
        <v>72.951290999999998</v>
      </c>
    </row>
    <row r="12" spans="1:10" x14ac:dyDescent="0.3">
      <c r="A12" t="s">
        <v>45</v>
      </c>
      <c r="B12" t="s">
        <v>46</v>
      </c>
      <c r="C12" t="s">
        <v>40</v>
      </c>
      <c r="D12" s="1">
        <v>45535</v>
      </c>
      <c r="E12" t="s">
        <v>47</v>
      </c>
      <c r="F12" t="s">
        <v>28</v>
      </c>
      <c r="G12">
        <v>5188.28</v>
      </c>
      <c r="H12">
        <v>2000</v>
      </c>
      <c r="I12">
        <v>3188.28</v>
      </c>
      <c r="J12">
        <v>61.451579000000002</v>
      </c>
    </row>
    <row r="13" spans="1:10" x14ac:dyDescent="0.3">
      <c r="A13" t="s">
        <v>48</v>
      </c>
      <c r="B13" t="s">
        <v>23</v>
      </c>
      <c r="C13" t="s">
        <v>12</v>
      </c>
      <c r="D13" s="1">
        <v>45323</v>
      </c>
      <c r="E13" t="s">
        <v>49</v>
      </c>
      <c r="F13" t="s">
        <v>32</v>
      </c>
      <c r="G13">
        <v>6661.19</v>
      </c>
      <c r="H13">
        <v>30000</v>
      </c>
      <c r="I13">
        <v>-23338.81</v>
      </c>
      <c r="J13">
        <v>-350.369979</v>
      </c>
    </row>
    <row r="14" spans="1:10" x14ac:dyDescent="0.3">
      <c r="A14" t="s">
        <v>50</v>
      </c>
      <c r="B14" t="s">
        <v>16</v>
      </c>
      <c r="C14" t="s">
        <v>17</v>
      </c>
      <c r="D14" s="1">
        <v>45531</v>
      </c>
      <c r="E14" t="s">
        <v>47</v>
      </c>
      <c r="F14" t="s">
        <v>28</v>
      </c>
      <c r="G14">
        <v>49005.58</v>
      </c>
      <c r="H14">
        <v>2000</v>
      </c>
      <c r="I14">
        <v>47005.58</v>
      </c>
      <c r="J14">
        <v>95.918831999999995</v>
      </c>
    </row>
    <row r="15" spans="1:10" x14ac:dyDescent="0.3">
      <c r="A15" t="s">
        <v>51</v>
      </c>
      <c r="B15" t="s">
        <v>52</v>
      </c>
      <c r="C15" t="s">
        <v>17</v>
      </c>
      <c r="D15" s="1">
        <v>45441</v>
      </c>
      <c r="E15" t="s">
        <v>37</v>
      </c>
      <c r="F15" t="s">
        <v>19</v>
      </c>
      <c r="G15">
        <v>49068.959999999999</v>
      </c>
      <c r="H15">
        <v>12000</v>
      </c>
      <c r="I15">
        <v>37068.959999999999</v>
      </c>
      <c r="J15">
        <v>75.544621000000006</v>
      </c>
    </row>
    <row r="16" spans="1:10" x14ac:dyDescent="0.3">
      <c r="A16" t="s">
        <v>53</v>
      </c>
      <c r="B16" t="s">
        <v>54</v>
      </c>
      <c r="C16" t="s">
        <v>40</v>
      </c>
      <c r="D16" s="1">
        <v>45385</v>
      </c>
      <c r="E16" t="s">
        <v>27</v>
      </c>
      <c r="F16" t="s">
        <v>14</v>
      </c>
      <c r="G16">
        <v>2861.48</v>
      </c>
      <c r="H16">
        <v>500</v>
      </c>
      <c r="I16">
        <v>2361.48</v>
      </c>
      <c r="J16">
        <v>82.526525000000007</v>
      </c>
    </row>
    <row r="17" spans="1:10" x14ac:dyDescent="0.3">
      <c r="A17" t="s">
        <v>55</v>
      </c>
      <c r="B17" t="s">
        <v>56</v>
      </c>
      <c r="C17" t="s">
        <v>40</v>
      </c>
      <c r="D17" s="1">
        <v>45613</v>
      </c>
      <c r="E17" t="s">
        <v>57</v>
      </c>
      <c r="F17" t="s">
        <v>28</v>
      </c>
      <c r="G17">
        <v>31425.42</v>
      </c>
      <c r="H17">
        <v>2000</v>
      </c>
      <c r="I17">
        <v>29425.42</v>
      </c>
      <c r="J17">
        <v>93.635724999999994</v>
      </c>
    </row>
    <row r="18" spans="1:10" x14ac:dyDescent="0.3">
      <c r="A18" t="s">
        <v>58</v>
      </c>
      <c r="B18" t="s">
        <v>59</v>
      </c>
      <c r="C18" t="s">
        <v>40</v>
      </c>
      <c r="D18" s="1">
        <v>45562</v>
      </c>
      <c r="E18" t="s">
        <v>24</v>
      </c>
      <c r="F18" t="s">
        <v>32</v>
      </c>
      <c r="G18">
        <v>41652.78</v>
      </c>
      <c r="H18">
        <v>30000</v>
      </c>
      <c r="I18">
        <v>11652.78</v>
      </c>
      <c r="J18">
        <v>27.975995999999999</v>
      </c>
    </row>
    <row r="19" spans="1:10" x14ac:dyDescent="0.3">
      <c r="A19" t="s">
        <v>60</v>
      </c>
      <c r="B19" t="s">
        <v>61</v>
      </c>
      <c r="C19" t="s">
        <v>12</v>
      </c>
      <c r="D19" s="1">
        <v>45447</v>
      </c>
      <c r="E19" t="s">
        <v>41</v>
      </c>
      <c r="F19" t="s">
        <v>32</v>
      </c>
      <c r="G19">
        <v>35970.18</v>
      </c>
      <c r="H19">
        <v>30000</v>
      </c>
      <c r="I19">
        <v>5970.18</v>
      </c>
      <c r="J19">
        <v>16.597581999999999</v>
      </c>
    </row>
    <row r="20" spans="1:10" x14ac:dyDescent="0.3">
      <c r="A20" t="s">
        <v>62</v>
      </c>
      <c r="B20" t="s">
        <v>63</v>
      </c>
      <c r="C20" t="s">
        <v>64</v>
      </c>
      <c r="D20" s="1">
        <v>45406</v>
      </c>
      <c r="E20" t="s">
        <v>27</v>
      </c>
      <c r="F20" t="s">
        <v>28</v>
      </c>
      <c r="G20">
        <v>18892.98</v>
      </c>
      <c r="H20">
        <v>2000</v>
      </c>
      <c r="I20">
        <v>16892.98</v>
      </c>
      <c r="J20">
        <v>89.414057</v>
      </c>
    </row>
    <row r="21" spans="1:10" x14ac:dyDescent="0.3">
      <c r="A21" t="s">
        <v>65</v>
      </c>
      <c r="B21" t="s">
        <v>66</v>
      </c>
      <c r="C21" t="s">
        <v>40</v>
      </c>
      <c r="D21" s="1">
        <v>45405</v>
      </c>
      <c r="E21" t="s">
        <v>27</v>
      </c>
      <c r="F21" t="s">
        <v>32</v>
      </c>
      <c r="G21">
        <v>10886.58</v>
      </c>
      <c r="H21">
        <v>30000</v>
      </c>
      <c r="I21">
        <v>-19113.419999999998</v>
      </c>
      <c r="J21">
        <v>-175.568636</v>
      </c>
    </row>
    <row r="22" spans="1:10" x14ac:dyDescent="0.3">
      <c r="A22" t="s">
        <v>67</v>
      </c>
      <c r="B22" t="s">
        <v>68</v>
      </c>
      <c r="C22" t="s">
        <v>40</v>
      </c>
      <c r="D22" s="1">
        <v>45610</v>
      </c>
      <c r="E22" t="s">
        <v>57</v>
      </c>
      <c r="F22" t="s">
        <v>14</v>
      </c>
      <c r="G22">
        <v>1221.29</v>
      </c>
      <c r="H22">
        <v>500</v>
      </c>
      <c r="I22">
        <v>721.29</v>
      </c>
      <c r="J22">
        <v>59.059683</v>
      </c>
    </row>
    <row r="23" spans="1:10" x14ac:dyDescent="0.3">
      <c r="A23" t="s">
        <v>69</v>
      </c>
      <c r="B23" t="s">
        <v>70</v>
      </c>
      <c r="C23" t="s">
        <v>64</v>
      </c>
      <c r="D23" s="1">
        <v>45357</v>
      </c>
      <c r="E23" t="s">
        <v>18</v>
      </c>
      <c r="F23" t="s">
        <v>28</v>
      </c>
      <c r="G23">
        <v>40462.32</v>
      </c>
      <c r="H23">
        <v>2000</v>
      </c>
      <c r="I23">
        <v>38462.32</v>
      </c>
      <c r="J23">
        <v>95.057130000000001</v>
      </c>
    </row>
    <row r="24" spans="1:10" x14ac:dyDescent="0.3">
      <c r="A24" t="s">
        <v>71</v>
      </c>
      <c r="B24" t="s">
        <v>72</v>
      </c>
      <c r="C24" t="s">
        <v>64</v>
      </c>
      <c r="D24" s="1">
        <v>45605</v>
      </c>
      <c r="E24" t="s">
        <v>57</v>
      </c>
      <c r="F24" t="s">
        <v>28</v>
      </c>
      <c r="G24">
        <v>19645.669999999998</v>
      </c>
      <c r="H24">
        <v>2000</v>
      </c>
      <c r="I24">
        <v>17645.669999999998</v>
      </c>
      <c r="J24">
        <v>89.819640000000007</v>
      </c>
    </row>
    <row r="25" spans="1:10" x14ac:dyDescent="0.3">
      <c r="A25" t="s">
        <v>73</v>
      </c>
      <c r="B25" t="s">
        <v>74</v>
      </c>
      <c r="C25" t="s">
        <v>40</v>
      </c>
      <c r="D25" s="1">
        <v>45403</v>
      </c>
      <c r="E25" t="s">
        <v>27</v>
      </c>
      <c r="F25" t="s">
        <v>14</v>
      </c>
      <c r="G25">
        <v>29524.27</v>
      </c>
      <c r="H25">
        <v>500</v>
      </c>
      <c r="I25">
        <v>29024.27</v>
      </c>
      <c r="J25">
        <v>98.306477999999998</v>
      </c>
    </row>
    <row r="26" spans="1:10" x14ac:dyDescent="0.3">
      <c r="A26" t="s">
        <v>75</v>
      </c>
      <c r="B26" t="s">
        <v>76</v>
      </c>
      <c r="C26" t="s">
        <v>17</v>
      </c>
      <c r="D26" s="1">
        <v>45560</v>
      </c>
      <c r="E26" t="s">
        <v>24</v>
      </c>
      <c r="F26" t="s">
        <v>14</v>
      </c>
      <c r="G26">
        <v>8908.5499999999993</v>
      </c>
      <c r="H26">
        <v>500</v>
      </c>
      <c r="I26">
        <v>8408.5499999999993</v>
      </c>
      <c r="J26">
        <v>94.387414000000007</v>
      </c>
    </row>
    <row r="27" spans="1:10" x14ac:dyDescent="0.3">
      <c r="A27" t="s">
        <v>77</v>
      </c>
      <c r="B27" t="s">
        <v>78</v>
      </c>
      <c r="C27" t="s">
        <v>40</v>
      </c>
      <c r="D27" s="1">
        <v>45367</v>
      </c>
      <c r="E27" t="s">
        <v>18</v>
      </c>
      <c r="F27" t="s">
        <v>19</v>
      </c>
      <c r="G27">
        <v>50207.37</v>
      </c>
      <c r="H27">
        <v>12000</v>
      </c>
      <c r="I27">
        <v>38207.370000000003</v>
      </c>
      <c r="J27">
        <v>76.099125999999998</v>
      </c>
    </row>
    <row r="28" spans="1:10" x14ac:dyDescent="0.3">
      <c r="A28" t="s">
        <v>79</v>
      </c>
      <c r="B28" t="s">
        <v>80</v>
      </c>
      <c r="C28" t="s">
        <v>64</v>
      </c>
      <c r="D28" s="1">
        <v>45340</v>
      </c>
      <c r="E28" t="s">
        <v>49</v>
      </c>
      <c r="F28" t="s">
        <v>28</v>
      </c>
      <c r="G28">
        <v>25595.98</v>
      </c>
      <c r="H28">
        <v>2000</v>
      </c>
      <c r="I28">
        <v>23595.98</v>
      </c>
      <c r="J28">
        <v>92.186273</v>
      </c>
    </row>
    <row r="29" spans="1:10" x14ac:dyDescent="0.3">
      <c r="A29" t="s">
        <v>81</v>
      </c>
      <c r="B29" t="s">
        <v>82</v>
      </c>
      <c r="C29" t="s">
        <v>17</v>
      </c>
      <c r="D29" s="1">
        <v>45439</v>
      </c>
      <c r="E29" t="s">
        <v>37</v>
      </c>
      <c r="F29" t="s">
        <v>14</v>
      </c>
      <c r="G29">
        <v>38180.67</v>
      </c>
      <c r="H29">
        <v>500</v>
      </c>
      <c r="I29">
        <v>37680.67</v>
      </c>
      <c r="J29">
        <v>98.690437000000003</v>
      </c>
    </row>
    <row r="30" spans="1:10" x14ac:dyDescent="0.3">
      <c r="A30" t="s">
        <v>83</v>
      </c>
      <c r="B30" t="s">
        <v>84</v>
      </c>
      <c r="C30" t="s">
        <v>64</v>
      </c>
      <c r="D30" s="1">
        <v>45305</v>
      </c>
      <c r="E30" t="s">
        <v>44</v>
      </c>
      <c r="F30" t="s">
        <v>32</v>
      </c>
      <c r="G30">
        <v>31161.37</v>
      </c>
      <c r="H30">
        <v>30000</v>
      </c>
      <c r="I30">
        <v>1161.3699999999999</v>
      </c>
      <c r="J30">
        <v>3.7269540000000001</v>
      </c>
    </row>
    <row r="31" spans="1:10" x14ac:dyDescent="0.3">
      <c r="A31" t="s">
        <v>85</v>
      </c>
      <c r="B31" t="s">
        <v>86</v>
      </c>
      <c r="C31" t="s">
        <v>40</v>
      </c>
      <c r="D31" s="1">
        <v>45542</v>
      </c>
      <c r="E31" t="s">
        <v>24</v>
      </c>
      <c r="F31" t="s">
        <v>19</v>
      </c>
      <c r="G31">
        <v>19627.490000000002</v>
      </c>
      <c r="H31">
        <v>12000</v>
      </c>
      <c r="I31">
        <v>7627.49</v>
      </c>
      <c r="J31">
        <v>38.861260000000001</v>
      </c>
    </row>
    <row r="32" spans="1:10" x14ac:dyDescent="0.3">
      <c r="A32" t="s">
        <v>87</v>
      </c>
      <c r="B32" t="s">
        <v>88</v>
      </c>
      <c r="C32" t="s">
        <v>17</v>
      </c>
      <c r="D32" s="1">
        <v>45316</v>
      </c>
      <c r="E32" t="s">
        <v>44</v>
      </c>
      <c r="F32" t="s">
        <v>32</v>
      </c>
      <c r="G32">
        <v>12829.74</v>
      </c>
      <c r="H32">
        <v>30000</v>
      </c>
      <c r="I32">
        <v>-17170.259999999998</v>
      </c>
      <c r="J32">
        <v>-133.83170699999999</v>
      </c>
    </row>
    <row r="33" spans="1:10" x14ac:dyDescent="0.3">
      <c r="A33" t="s">
        <v>89</v>
      </c>
      <c r="B33" t="s">
        <v>90</v>
      </c>
      <c r="C33" t="s">
        <v>12</v>
      </c>
      <c r="D33" s="1">
        <v>45492</v>
      </c>
      <c r="E33" t="s">
        <v>31</v>
      </c>
      <c r="F33" t="s">
        <v>19</v>
      </c>
      <c r="G33">
        <v>38896.559999999998</v>
      </c>
      <c r="H33">
        <v>12000</v>
      </c>
      <c r="I33">
        <v>26896.560000000001</v>
      </c>
      <c r="J33">
        <v>69.148943000000003</v>
      </c>
    </row>
    <row r="34" spans="1:10" x14ac:dyDescent="0.3">
      <c r="A34" t="s">
        <v>91</v>
      </c>
      <c r="B34" t="s">
        <v>92</v>
      </c>
      <c r="C34" t="s">
        <v>12</v>
      </c>
      <c r="D34" s="1">
        <v>45297</v>
      </c>
      <c r="E34" t="s">
        <v>44</v>
      </c>
      <c r="F34" t="s">
        <v>32</v>
      </c>
      <c r="G34">
        <v>39307.040000000001</v>
      </c>
      <c r="H34">
        <v>30000</v>
      </c>
      <c r="I34">
        <v>9307.0400000000009</v>
      </c>
      <c r="J34">
        <v>23.677793999999999</v>
      </c>
    </row>
    <row r="35" spans="1:10" x14ac:dyDescent="0.3">
      <c r="A35" t="s">
        <v>93</v>
      </c>
      <c r="B35" t="s">
        <v>94</v>
      </c>
      <c r="C35" t="s">
        <v>17</v>
      </c>
      <c r="D35" s="1">
        <v>45632</v>
      </c>
      <c r="E35" t="s">
        <v>95</v>
      </c>
      <c r="F35" t="s">
        <v>14</v>
      </c>
      <c r="G35">
        <v>10523.82</v>
      </c>
      <c r="H35">
        <v>500</v>
      </c>
      <c r="I35">
        <v>10023.82</v>
      </c>
      <c r="J35">
        <v>95.248874000000001</v>
      </c>
    </row>
    <row r="36" spans="1:10" x14ac:dyDescent="0.3">
      <c r="A36" t="s">
        <v>96</v>
      </c>
      <c r="B36" t="s">
        <v>97</v>
      </c>
      <c r="C36" t="s">
        <v>40</v>
      </c>
      <c r="D36" s="1">
        <v>45398</v>
      </c>
      <c r="E36" t="s">
        <v>27</v>
      </c>
      <c r="F36" t="s">
        <v>32</v>
      </c>
      <c r="G36">
        <v>5532.07</v>
      </c>
      <c r="H36">
        <v>30000</v>
      </c>
      <c r="I36">
        <v>-24467.93</v>
      </c>
      <c r="J36">
        <v>-442.29248699999999</v>
      </c>
    </row>
    <row r="37" spans="1:10" x14ac:dyDescent="0.3">
      <c r="A37" t="s">
        <v>98</v>
      </c>
      <c r="B37" t="s">
        <v>99</v>
      </c>
      <c r="C37" t="s">
        <v>17</v>
      </c>
      <c r="D37" s="1">
        <v>45541</v>
      </c>
      <c r="E37" t="s">
        <v>24</v>
      </c>
      <c r="F37" t="s">
        <v>28</v>
      </c>
      <c r="G37">
        <v>37013.660000000003</v>
      </c>
      <c r="H37">
        <v>2000</v>
      </c>
      <c r="I37">
        <v>35013.660000000003</v>
      </c>
      <c r="J37">
        <v>94.596588999999994</v>
      </c>
    </row>
    <row r="38" spans="1:10" x14ac:dyDescent="0.3">
      <c r="A38" t="s">
        <v>100</v>
      </c>
      <c r="B38" t="s">
        <v>101</v>
      </c>
      <c r="C38" t="s">
        <v>17</v>
      </c>
      <c r="D38" s="1">
        <v>45532</v>
      </c>
      <c r="E38" t="s">
        <v>47</v>
      </c>
      <c r="F38" t="s">
        <v>32</v>
      </c>
      <c r="G38">
        <v>35357.1</v>
      </c>
      <c r="H38">
        <v>30000</v>
      </c>
      <c r="I38">
        <v>5357.1</v>
      </c>
      <c r="J38">
        <v>15.151412000000001</v>
      </c>
    </row>
    <row r="39" spans="1:10" x14ac:dyDescent="0.3">
      <c r="A39" t="s">
        <v>102</v>
      </c>
      <c r="B39" t="s">
        <v>103</v>
      </c>
      <c r="C39" t="s">
        <v>12</v>
      </c>
      <c r="D39" s="1">
        <v>45398</v>
      </c>
      <c r="E39" t="s">
        <v>27</v>
      </c>
      <c r="F39" t="s">
        <v>28</v>
      </c>
      <c r="G39">
        <v>41908.89</v>
      </c>
      <c r="H39">
        <v>2000</v>
      </c>
      <c r="I39">
        <v>39908.89</v>
      </c>
      <c r="J39">
        <v>95.227743000000004</v>
      </c>
    </row>
    <row r="40" spans="1:10" x14ac:dyDescent="0.3">
      <c r="A40" t="s">
        <v>104</v>
      </c>
      <c r="B40" t="s">
        <v>105</v>
      </c>
      <c r="C40" t="s">
        <v>64</v>
      </c>
      <c r="D40" s="1">
        <v>45653</v>
      </c>
      <c r="E40" t="s">
        <v>95</v>
      </c>
      <c r="F40" t="s">
        <v>28</v>
      </c>
      <c r="G40">
        <v>8344.44</v>
      </c>
      <c r="H40">
        <v>2000</v>
      </c>
      <c r="I40">
        <v>6344.44</v>
      </c>
      <c r="J40">
        <v>76.031944999999993</v>
      </c>
    </row>
    <row r="41" spans="1:10" x14ac:dyDescent="0.3">
      <c r="A41" t="s">
        <v>106</v>
      </c>
      <c r="B41" t="s">
        <v>107</v>
      </c>
      <c r="C41" t="s">
        <v>64</v>
      </c>
      <c r="D41" s="1">
        <v>45509</v>
      </c>
      <c r="E41" t="s">
        <v>47</v>
      </c>
      <c r="F41" t="s">
        <v>14</v>
      </c>
      <c r="G41">
        <v>8686.24</v>
      </c>
      <c r="H41">
        <v>500</v>
      </c>
      <c r="I41">
        <v>8186.24</v>
      </c>
      <c r="J41">
        <v>94.243769</v>
      </c>
    </row>
    <row r="42" spans="1:10" x14ac:dyDescent="0.3">
      <c r="A42" t="s">
        <v>108</v>
      </c>
      <c r="B42" t="s">
        <v>109</v>
      </c>
      <c r="C42" t="s">
        <v>40</v>
      </c>
      <c r="D42" s="1">
        <v>45434</v>
      </c>
      <c r="E42" t="s">
        <v>37</v>
      </c>
      <c r="F42" t="s">
        <v>28</v>
      </c>
      <c r="G42">
        <v>19003.13</v>
      </c>
      <c r="H42">
        <v>2000</v>
      </c>
      <c r="I42">
        <v>17003.13</v>
      </c>
      <c r="J42">
        <v>89.475418000000005</v>
      </c>
    </row>
    <row r="43" spans="1:10" x14ac:dyDescent="0.3">
      <c r="A43" t="s">
        <v>110</v>
      </c>
      <c r="B43" t="s">
        <v>111</v>
      </c>
      <c r="C43" t="s">
        <v>64</v>
      </c>
      <c r="D43" s="1">
        <v>45457</v>
      </c>
      <c r="E43" t="s">
        <v>41</v>
      </c>
      <c r="F43" t="s">
        <v>28</v>
      </c>
      <c r="G43">
        <v>3359.63</v>
      </c>
      <c r="H43">
        <v>2000</v>
      </c>
      <c r="I43">
        <v>1359.63</v>
      </c>
      <c r="J43">
        <v>40.469634999999997</v>
      </c>
    </row>
    <row r="44" spans="1:10" x14ac:dyDescent="0.3">
      <c r="A44" t="s">
        <v>112</v>
      </c>
      <c r="B44" t="s">
        <v>113</v>
      </c>
      <c r="C44" t="s">
        <v>17</v>
      </c>
      <c r="D44" s="1">
        <v>45418</v>
      </c>
      <c r="E44" t="s">
        <v>37</v>
      </c>
      <c r="F44" t="s">
        <v>28</v>
      </c>
      <c r="G44">
        <v>22198.2</v>
      </c>
      <c r="H44">
        <v>2000</v>
      </c>
      <c r="I44">
        <v>20198.2</v>
      </c>
      <c r="J44">
        <v>90.990260000000006</v>
      </c>
    </row>
    <row r="45" spans="1:10" x14ac:dyDescent="0.3">
      <c r="A45" t="s">
        <v>114</v>
      </c>
      <c r="B45" t="s">
        <v>115</v>
      </c>
      <c r="C45" t="s">
        <v>17</v>
      </c>
      <c r="D45" s="1">
        <v>45445</v>
      </c>
      <c r="E45" t="s">
        <v>41</v>
      </c>
      <c r="F45" t="s">
        <v>28</v>
      </c>
      <c r="G45">
        <v>10461.709999999999</v>
      </c>
      <c r="H45">
        <v>2000</v>
      </c>
      <c r="I45">
        <v>8461.7099999999991</v>
      </c>
      <c r="J45">
        <v>80.882666</v>
      </c>
    </row>
    <row r="46" spans="1:10" x14ac:dyDescent="0.3">
      <c r="A46" t="s">
        <v>116</v>
      </c>
      <c r="B46" t="s">
        <v>117</v>
      </c>
      <c r="C46" t="s">
        <v>64</v>
      </c>
      <c r="D46" s="1">
        <v>45382</v>
      </c>
      <c r="E46" t="s">
        <v>18</v>
      </c>
      <c r="F46" t="s">
        <v>32</v>
      </c>
      <c r="G46">
        <v>21365.89</v>
      </c>
      <c r="H46">
        <v>30000</v>
      </c>
      <c r="I46">
        <v>-8634.11</v>
      </c>
      <c r="J46">
        <v>-40.410719999999998</v>
      </c>
    </row>
    <row r="47" spans="1:10" x14ac:dyDescent="0.3">
      <c r="A47" t="s">
        <v>118</v>
      </c>
      <c r="B47" t="s">
        <v>119</v>
      </c>
      <c r="C47" t="s">
        <v>12</v>
      </c>
      <c r="D47" s="1">
        <v>45419</v>
      </c>
      <c r="E47" t="s">
        <v>37</v>
      </c>
      <c r="F47" t="s">
        <v>28</v>
      </c>
      <c r="G47">
        <v>6990.48</v>
      </c>
      <c r="H47">
        <v>2000</v>
      </c>
      <c r="I47">
        <v>4990.4799999999996</v>
      </c>
      <c r="J47">
        <v>71.389661000000004</v>
      </c>
    </row>
    <row r="48" spans="1:10" x14ac:dyDescent="0.3">
      <c r="A48" t="s">
        <v>120</v>
      </c>
      <c r="B48" t="s">
        <v>86</v>
      </c>
      <c r="C48" t="s">
        <v>40</v>
      </c>
      <c r="D48" s="1">
        <v>45421</v>
      </c>
      <c r="E48" t="s">
        <v>37</v>
      </c>
      <c r="F48" t="s">
        <v>14</v>
      </c>
      <c r="G48">
        <v>3552.06</v>
      </c>
      <c r="H48">
        <v>500</v>
      </c>
      <c r="I48">
        <v>3052.06</v>
      </c>
      <c r="J48">
        <v>85.923660999999996</v>
      </c>
    </row>
    <row r="49" spans="1:10" x14ac:dyDescent="0.3">
      <c r="A49" t="s">
        <v>121</v>
      </c>
      <c r="B49" t="s">
        <v>122</v>
      </c>
      <c r="C49" t="s">
        <v>64</v>
      </c>
      <c r="D49" s="1">
        <v>45425</v>
      </c>
      <c r="E49" t="s">
        <v>37</v>
      </c>
      <c r="F49" t="s">
        <v>14</v>
      </c>
      <c r="G49">
        <v>25107.29</v>
      </c>
      <c r="H49">
        <v>500</v>
      </c>
      <c r="I49">
        <v>24607.29</v>
      </c>
      <c r="J49">
        <v>98.008546999999993</v>
      </c>
    </row>
    <row r="50" spans="1:10" x14ac:dyDescent="0.3">
      <c r="A50" t="s">
        <v>123</v>
      </c>
      <c r="B50" t="s">
        <v>124</v>
      </c>
      <c r="C50" t="s">
        <v>64</v>
      </c>
      <c r="D50" s="1">
        <v>45338</v>
      </c>
      <c r="E50" t="s">
        <v>49</v>
      </c>
      <c r="F50" t="s">
        <v>19</v>
      </c>
      <c r="G50">
        <v>4599.3100000000004</v>
      </c>
      <c r="H50">
        <v>12000</v>
      </c>
      <c r="I50">
        <v>-7400.69</v>
      </c>
      <c r="J50">
        <v>-160.90870200000001</v>
      </c>
    </row>
    <row r="51" spans="1:10" x14ac:dyDescent="0.3">
      <c r="A51" t="s">
        <v>125</v>
      </c>
      <c r="B51" t="s">
        <v>126</v>
      </c>
      <c r="C51" t="s">
        <v>64</v>
      </c>
      <c r="D51" s="1">
        <v>45382</v>
      </c>
      <c r="E51" t="s">
        <v>18</v>
      </c>
      <c r="F51" t="s">
        <v>32</v>
      </c>
      <c r="G51">
        <v>17418.09</v>
      </c>
      <c r="H51">
        <v>30000</v>
      </c>
      <c r="I51">
        <v>-12581.91</v>
      </c>
      <c r="J51">
        <v>-72.234728000000004</v>
      </c>
    </row>
    <row r="52" spans="1:10" x14ac:dyDescent="0.3">
      <c r="A52" t="s">
        <v>127</v>
      </c>
      <c r="B52" t="s">
        <v>128</v>
      </c>
      <c r="C52" t="s">
        <v>17</v>
      </c>
      <c r="D52" s="1">
        <v>45310</v>
      </c>
      <c r="E52" t="s">
        <v>44</v>
      </c>
      <c r="F52" t="s">
        <v>28</v>
      </c>
      <c r="G52">
        <v>8557.85</v>
      </c>
      <c r="H52">
        <v>2000</v>
      </c>
      <c r="I52">
        <v>6557.85</v>
      </c>
      <c r="J52">
        <v>76.629643999999999</v>
      </c>
    </row>
    <row r="53" spans="1:10" x14ac:dyDescent="0.3">
      <c r="A53" t="s">
        <v>129</v>
      </c>
      <c r="B53" t="s">
        <v>130</v>
      </c>
      <c r="C53" t="s">
        <v>40</v>
      </c>
      <c r="D53" s="1">
        <v>45519</v>
      </c>
      <c r="E53" t="s">
        <v>47</v>
      </c>
      <c r="F53" t="s">
        <v>19</v>
      </c>
      <c r="G53">
        <v>24734.560000000001</v>
      </c>
      <c r="H53">
        <v>12000</v>
      </c>
      <c r="I53">
        <v>12734.56</v>
      </c>
      <c r="J53">
        <v>51.484886000000003</v>
      </c>
    </row>
    <row r="54" spans="1:10" x14ac:dyDescent="0.3">
      <c r="A54" t="s">
        <v>131</v>
      </c>
      <c r="B54" t="s">
        <v>132</v>
      </c>
      <c r="C54" t="s">
        <v>64</v>
      </c>
      <c r="D54" s="1">
        <v>45334</v>
      </c>
      <c r="E54" t="s">
        <v>49</v>
      </c>
      <c r="F54" t="s">
        <v>14</v>
      </c>
      <c r="G54">
        <v>38415.14</v>
      </c>
      <c r="H54">
        <v>500</v>
      </c>
      <c r="I54">
        <v>37915.14</v>
      </c>
      <c r="J54">
        <v>98.698430000000002</v>
      </c>
    </row>
    <row r="55" spans="1:10" x14ac:dyDescent="0.3">
      <c r="A55" t="s">
        <v>133</v>
      </c>
      <c r="B55" t="s">
        <v>134</v>
      </c>
      <c r="C55" t="s">
        <v>40</v>
      </c>
      <c r="D55" s="1">
        <v>45573</v>
      </c>
      <c r="E55" t="s">
        <v>13</v>
      </c>
      <c r="F55" t="s">
        <v>14</v>
      </c>
      <c r="G55">
        <v>36343.230000000003</v>
      </c>
      <c r="H55">
        <v>500</v>
      </c>
      <c r="I55">
        <v>35843.230000000003</v>
      </c>
      <c r="J55">
        <v>98.624228000000002</v>
      </c>
    </row>
    <row r="56" spans="1:10" x14ac:dyDescent="0.3">
      <c r="A56" t="s">
        <v>135</v>
      </c>
      <c r="B56" t="s">
        <v>136</v>
      </c>
      <c r="C56" t="s">
        <v>12</v>
      </c>
      <c r="D56" s="1">
        <v>45630</v>
      </c>
      <c r="E56" t="s">
        <v>95</v>
      </c>
      <c r="F56" t="s">
        <v>28</v>
      </c>
      <c r="G56">
        <v>5885.51</v>
      </c>
      <c r="H56">
        <v>2000</v>
      </c>
      <c r="I56">
        <v>3885.51</v>
      </c>
      <c r="J56">
        <v>66.018237999999997</v>
      </c>
    </row>
    <row r="57" spans="1:10" x14ac:dyDescent="0.3">
      <c r="A57" t="s">
        <v>137</v>
      </c>
      <c r="B57" t="s">
        <v>119</v>
      </c>
      <c r="C57" t="s">
        <v>12</v>
      </c>
      <c r="D57" s="1">
        <v>45328</v>
      </c>
      <c r="E57" t="s">
        <v>49</v>
      </c>
      <c r="F57" t="s">
        <v>19</v>
      </c>
      <c r="G57">
        <v>34226.76</v>
      </c>
      <c r="H57">
        <v>12000</v>
      </c>
      <c r="I57">
        <v>22226.76</v>
      </c>
      <c r="J57">
        <v>64.939713999999995</v>
      </c>
    </row>
    <row r="58" spans="1:10" x14ac:dyDescent="0.3">
      <c r="A58" t="s">
        <v>138</v>
      </c>
      <c r="B58" t="s">
        <v>139</v>
      </c>
      <c r="C58" t="s">
        <v>17</v>
      </c>
      <c r="D58" s="1">
        <v>45646</v>
      </c>
      <c r="E58" t="s">
        <v>95</v>
      </c>
      <c r="F58" t="s">
        <v>32</v>
      </c>
      <c r="G58">
        <v>38797.519999999997</v>
      </c>
      <c r="H58">
        <v>30000</v>
      </c>
      <c r="I58">
        <v>8797.52</v>
      </c>
      <c r="J58">
        <v>22.675470000000001</v>
      </c>
    </row>
    <row r="59" spans="1:10" x14ac:dyDescent="0.3">
      <c r="A59" t="s">
        <v>140</v>
      </c>
      <c r="B59" t="s">
        <v>141</v>
      </c>
      <c r="C59" t="s">
        <v>12</v>
      </c>
      <c r="D59" s="1">
        <v>45593</v>
      </c>
      <c r="E59" t="s">
        <v>13</v>
      </c>
      <c r="F59" t="s">
        <v>28</v>
      </c>
      <c r="G59">
        <v>43742.559999999998</v>
      </c>
      <c r="H59">
        <v>2000</v>
      </c>
      <c r="I59">
        <v>41742.559999999998</v>
      </c>
      <c r="J59">
        <v>95.427794000000006</v>
      </c>
    </row>
    <row r="60" spans="1:10" x14ac:dyDescent="0.3">
      <c r="A60" t="s">
        <v>142</v>
      </c>
      <c r="B60" t="s">
        <v>143</v>
      </c>
      <c r="C60" t="s">
        <v>64</v>
      </c>
      <c r="D60" s="1">
        <v>45319</v>
      </c>
      <c r="E60" t="s">
        <v>44</v>
      </c>
      <c r="F60" t="s">
        <v>19</v>
      </c>
      <c r="G60">
        <v>26984.66</v>
      </c>
      <c r="H60">
        <v>12000</v>
      </c>
      <c r="I60">
        <v>14984.66</v>
      </c>
      <c r="J60">
        <v>55.530290000000001</v>
      </c>
    </row>
    <row r="61" spans="1:10" x14ac:dyDescent="0.3">
      <c r="A61" t="s">
        <v>144</v>
      </c>
      <c r="B61" t="s">
        <v>145</v>
      </c>
      <c r="C61" t="s">
        <v>40</v>
      </c>
      <c r="D61" s="1">
        <v>45359</v>
      </c>
      <c r="E61" t="s">
        <v>18</v>
      </c>
      <c r="F61" t="s">
        <v>28</v>
      </c>
      <c r="G61">
        <v>7430.16</v>
      </c>
      <c r="H61">
        <v>2000</v>
      </c>
      <c r="I61">
        <v>5430.16</v>
      </c>
      <c r="J61">
        <v>73.082678999999999</v>
      </c>
    </row>
    <row r="62" spans="1:10" x14ac:dyDescent="0.3">
      <c r="A62" t="s">
        <v>146</v>
      </c>
      <c r="B62" t="s">
        <v>122</v>
      </c>
      <c r="C62" t="s">
        <v>64</v>
      </c>
      <c r="D62" s="1">
        <v>45446</v>
      </c>
      <c r="E62" t="s">
        <v>41</v>
      </c>
      <c r="F62" t="s">
        <v>32</v>
      </c>
      <c r="G62">
        <v>36715.589999999997</v>
      </c>
      <c r="H62">
        <v>30000</v>
      </c>
      <c r="I62">
        <v>6715.59</v>
      </c>
      <c r="J62">
        <v>18.290839999999999</v>
      </c>
    </row>
    <row r="63" spans="1:10" x14ac:dyDescent="0.3">
      <c r="A63" t="s">
        <v>147</v>
      </c>
      <c r="B63" t="s">
        <v>148</v>
      </c>
      <c r="C63" t="s">
        <v>17</v>
      </c>
      <c r="D63" s="1">
        <v>45559</v>
      </c>
      <c r="E63" t="s">
        <v>24</v>
      </c>
      <c r="F63" t="s">
        <v>14</v>
      </c>
      <c r="G63">
        <v>34469.99</v>
      </c>
      <c r="H63">
        <v>500</v>
      </c>
      <c r="I63">
        <v>33969.99</v>
      </c>
      <c r="J63">
        <v>98.549463000000003</v>
      </c>
    </row>
    <row r="64" spans="1:10" x14ac:dyDescent="0.3">
      <c r="A64" t="s">
        <v>149</v>
      </c>
      <c r="B64" t="s">
        <v>150</v>
      </c>
      <c r="C64" t="s">
        <v>64</v>
      </c>
      <c r="D64" s="1">
        <v>45421</v>
      </c>
      <c r="E64" t="s">
        <v>37</v>
      </c>
      <c r="F64" t="s">
        <v>14</v>
      </c>
      <c r="G64">
        <v>5853.45</v>
      </c>
      <c r="H64">
        <v>500</v>
      </c>
      <c r="I64">
        <v>5353.45</v>
      </c>
      <c r="J64">
        <v>91.458028999999996</v>
      </c>
    </row>
    <row r="65" spans="1:10" x14ac:dyDescent="0.3">
      <c r="A65" t="s">
        <v>151</v>
      </c>
      <c r="B65" t="s">
        <v>152</v>
      </c>
      <c r="C65" t="s">
        <v>17</v>
      </c>
      <c r="D65" s="1">
        <v>45332</v>
      </c>
      <c r="E65" t="s">
        <v>49</v>
      </c>
      <c r="F65" t="s">
        <v>32</v>
      </c>
      <c r="G65">
        <v>42138.49</v>
      </c>
      <c r="H65">
        <v>30000</v>
      </c>
      <c r="I65">
        <v>12138.49</v>
      </c>
      <c r="J65">
        <v>28.806182</v>
      </c>
    </row>
    <row r="66" spans="1:10" x14ac:dyDescent="0.3">
      <c r="A66" t="s">
        <v>153</v>
      </c>
      <c r="B66" t="s">
        <v>141</v>
      </c>
      <c r="C66" t="s">
        <v>12</v>
      </c>
      <c r="D66" s="1">
        <v>45616</v>
      </c>
      <c r="E66" t="s">
        <v>57</v>
      </c>
      <c r="F66" t="s">
        <v>14</v>
      </c>
      <c r="G66">
        <v>16382.37</v>
      </c>
      <c r="H66">
        <v>500</v>
      </c>
      <c r="I66">
        <v>15882.37</v>
      </c>
      <c r="J66">
        <v>96.947939000000005</v>
      </c>
    </row>
    <row r="67" spans="1:10" x14ac:dyDescent="0.3">
      <c r="A67" t="s">
        <v>154</v>
      </c>
      <c r="B67" t="s">
        <v>155</v>
      </c>
      <c r="C67" t="s">
        <v>40</v>
      </c>
      <c r="D67" s="1">
        <v>45437</v>
      </c>
      <c r="E67" t="s">
        <v>37</v>
      </c>
      <c r="F67" t="s">
        <v>14</v>
      </c>
      <c r="G67">
        <v>8840.35</v>
      </c>
      <c r="H67">
        <v>500</v>
      </c>
      <c r="I67">
        <v>8340.35</v>
      </c>
      <c r="J67">
        <v>94.344115000000002</v>
      </c>
    </row>
    <row r="68" spans="1:10" x14ac:dyDescent="0.3">
      <c r="A68" t="s">
        <v>156</v>
      </c>
      <c r="B68" t="s">
        <v>157</v>
      </c>
      <c r="C68" t="s">
        <v>64</v>
      </c>
      <c r="D68" s="1">
        <v>45403</v>
      </c>
      <c r="E68" t="s">
        <v>27</v>
      </c>
      <c r="F68" t="s">
        <v>14</v>
      </c>
      <c r="G68">
        <v>43109.86</v>
      </c>
      <c r="H68">
        <v>500</v>
      </c>
      <c r="I68">
        <v>42609.86</v>
      </c>
      <c r="J68">
        <v>98.840172999999993</v>
      </c>
    </row>
    <row r="69" spans="1:10" x14ac:dyDescent="0.3">
      <c r="A69" t="s">
        <v>158</v>
      </c>
      <c r="B69" t="s">
        <v>159</v>
      </c>
      <c r="C69" t="s">
        <v>12</v>
      </c>
      <c r="D69" s="1">
        <v>45358</v>
      </c>
      <c r="E69" t="s">
        <v>18</v>
      </c>
      <c r="F69" t="s">
        <v>28</v>
      </c>
      <c r="G69">
        <v>23331.93</v>
      </c>
      <c r="H69">
        <v>2000</v>
      </c>
      <c r="I69">
        <v>21331.93</v>
      </c>
      <c r="J69">
        <v>91.428055999999998</v>
      </c>
    </row>
    <row r="70" spans="1:10" x14ac:dyDescent="0.3">
      <c r="A70" t="s">
        <v>160</v>
      </c>
      <c r="B70" t="s">
        <v>124</v>
      </c>
      <c r="C70" t="s">
        <v>64</v>
      </c>
      <c r="D70" s="1">
        <v>45576</v>
      </c>
      <c r="E70" t="s">
        <v>13</v>
      </c>
      <c r="F70" t="s">
        <v>14</v>
      </c>
      <c r="G70">
        <v>23399.14</v>
      </c>
      <c r="H70">
        <v>500</v>
      </c>
      <c r="I70">
        <v>22899.14</v>
      </c>
      <c r="J70">
        <v>97.863168999999999</v>
      </c>
    </row>
    <row r="71" spans="1:10" x14ac:dyDescent="0.3">
      <c r="A71" t="s">
        <v>161</v>
      </c>
      <c r="B71" t="s">
        <v>136</v>
      </c>
      <c r="C71" t="s">
        <v>12</v>
      </c>
      <c r="D71" s="1">
        <v>45439</v>
      </c>
      <c r="E71" t="s">
        <v>37</v>
      </c>
      <c r="F71" t="s">
        <v>14</v>
      </c>
      <c r="G71">
        <v>28568.41</v>
      </c>
      <c r="H71">
        <v>500</v>
      </c>
      <c r="I71">
        <v>28068.41</v>
      </c>
      <c r="J71">
        <v>98.249814999999998</v>
      </c>
    </row>
    <row r="72" spans="1:10" x14ac:dyDescent="0.3">
      <c r="A72" t="s">
        <v>162</v>
      </c>
      <c r="B72" t="s">
        <v>163</v>
      </c>
      <c r="C72" t="s">
        <v>40</v>
      </c>
      <c r="D72" s="1">
        <v>45411</v>
      </c>
      <c r="E72" t="s">
        <v>27</v>
      </c>
      <c r="F72" t="s">
        <v>28</v>
      </c>
      <c r="G72">
        <v>36916.36</v>
      </c>
      <c r="H72">
        <v>2000</v>
      </c>
      <c r="I72">
        <v>34916.36</v>
      </c>
      <c r="J72">
        <v>94.582347999999996</v>
      </c>
    </row>
    <row r="73" spans="1:10" x14ac:dyDescent="0.3">
      <c r="A73" t="s">
        <v>164</v>
      </c>
      <c r="B73" t="s">
        <v>165</v>
      </c>
      <c r="C73" t="s">
        <v>17</v>
      </c>
      <c r="D73" s="1">
        <v>45445</v>
      </c>
      <c r="E73" t="s">
        <v>41</v>
      </c>
      <c r="F73" t="s">
        <v>19</v>
      </c>
      <c r="G73">
        <v>44014.17</v>
      </c>
      <c r="H73">
        <v>12000</v>
      </c>
      <c r="I73">
        <v>32014.17</v>
      </c>
      <c r="J73">
        <v>72.736052999999998</v>
      </c>
    </row>
    <row r="74" spans="1:10" x14ac:dyDescent="0.3">
      <c r="A74" t="s">
        <v>166</v>
      </c>
      <c r="B74" t="s">
        <v>167</v>
      </c>
      <c r="C74" t="s">
        <v>40</v>
      </c>
      <c r="D74" s="1">
        <v>45470</v>
      </c>
      <c r="E74" t="s">
        <v>41</v>
      </c>
      <c r="F74" t="s">
        <v>32</v>
      </c>
      <c r="G74">
        <v>34722.97</v>
      </c>
      <c r="H74">
        <v>30000</v>
      </c>
      <c r="I74">
        <v>4722.97</v>
      </c>
      <c r="J74">
        <v>13.601861</v>
      </c>
    </row>
    <row r="75" spans="1:10" x14ac:dyDescent="0.3">
      <c r="A75" t="s">
        <v>168</v>
      </c>
      <c r="B75" t="s">
        <v>157</v>
      </c>
      <c r="C75" t="s">
        <v>64</v>
      </c>
      <c r="D75" s="1">
        <v>45573</v>
      </c>
      <c r="E75" t="s">
        <v>13</v>
      </c>
      <c r="F75" t="s">
        <v>32</v>
      </c>
      <c r="G75">
        <v>5436.32</v>
      </c>
      <c r="H75">
        <v>30000</v>
      </c>
      <c r="I75">
        <v>-24563.68</v>
      </c>
      <c r="J75">
        <v>-451.84389399999998</v>
      </c>
    </row>
    <row r="76" spans="1:10" x14ac:dyDescent="0.3">
      <c r="A76" t="s">
        <v>169</v>
      </c>
      <c r="B76" t="s">
        <v>170</v>
      </c>
      <c r="C76" t="s">
        <v>64</v>
      </c>
      <c r="D76" s="1">
        <v>45628</v>
      </c>
      <c r="E76" t="s">
        <v>95</v>
      </c>
      <c r="F76" t="s">
        <v>14</v>
      </c>
      <c r="G76">
        <v>15399.59</v>
      </c>
      <c r="H76">
        <v>500</v>
      </c>
      <c r="I76">
        <v>14899.59</v>
      </c>
      <c r="J76">
        <v>96.753159999999994</v>
      </c>
    </row>
    <row r="77" spans="1:10" x14ac:dyDescent="0.3">
      <c r="A77" t="s">
        <v>171</v>
      </c>
      <c r="B77" t="s">
        <v>172</v>
      </c>
      <c r="C77" t="s">
        <v>40</v>
      </c>
      <c r="D77" s="1">
        <v>45542</v>
      </c>
      <c r="E77" t="s">
        <v>24</v>
      </c>
      <c r="F77" t="s">
        <v>19</v>
      </c>
      <c r="G77">
        <v>27868.3</v>
      </c>
      <c r="H77">
        <v>12000</v>
      </c>
      <c r="I77">
        <v>15868.3</v>
      </c>
      <c r="J77">
        <v>56.940322999999999</v>
      </c>
    </row>
    <row r="78" spans="1:10" x14ac:dyDescent="0.3">
      <c r="A78" t="s">
        <v>173</v>
      </c>
      <c r="B78" t="s">
        <v>174</v>
      </c>
      <c r="C78" t="s">
        <v>12</v>
      </c>
      <c r="D78" s="1">
        <v>45597</v>
      </c>
      <c r="E78" t="s">
        <v>57</v>
      </c>
      <c r="F78" t="s">
        <v>19</v>
      </c>
      <c r="G78">
        <v>48138.12</v>
      </c>
      <c r="H78">
        <v>12000</v>
      </c>
      <c r="I78">
        <v>36138.120000000003</v>
      </c>
      <c r="J78">
        <v>75.071731</v>
      </c>
    </row>
    <row r="79" spans="1:10" x14ac:dyDescent="0.3">
      <c r="A79" t="s">
        <v>175</v>
      </c>
      <c r="B79" t="s">
        <v>26</v>
      </c>
      <c r="C79" t="s">
        <v>12</v>
      </c>
      <c r="D79" s="1">
        <v>45635</v>
      </c>
      <c r="E79" t="s">
        <v>95</v>
      </c>
      <c r="F79" t="s">
        <v>32</v>
      </c>
      <c r="G79">
        <v>16227.16</v>
      </c>
      <c r="H79">
        <v>30000</v>
      </c>
      <c r="I79">
        <v>-13772.84</v>
      </c>
      <c r="J79">
        <v>-84.875234000000006</v>
      </c>
    </row>
    <row r="80" spans="1:10" x14ac:dyDescent="0.3">
      <c r="A80" t="s">
        <v>176</v>
      </c>
      <c r="B80" t="s">
        <v>177</v>
      </c>
      <c r="C80" t="s">
        <v>64</v>
      </c>
      <c r="D80" s="1">
        <v>45327</v>
      </c>
      <c r="E80" t="s">
        <v>49</v>
      </c>
      <c r="F80" t="s">
        <v>14</v>
      </c>
      <c r="G80">
        <v>22003.1</v>
      </c>
      <c r="H80">
        <v>500</v>
      </c>
      <c r="I80">
        <v>21503.1</v>
      </c>
      <c r="J80">
        <v>97.727592999999999</v>
      </c>
    </row>
    <row r="81" spans="1:10" x14ac:dyDescent="0.3">
      <c r="A81" t="s">
        <v>178</v>
      </c>
      <c r="B81" t="s">
        <v>179</v>
      </c>
      <c r="C81" t="s">
        <v>12</v>
      </c>
      <c r="D81" s="1">
        <v>45479</v>
      </c>
      <c r="E81" t="s">
        <v>31</v>
      </c>
      <c r="F81" t="s">
        <v>28</v>
      </c>
      <c r="G81">
        <v>45876.73</v>
      </c>
      <c r="H81">
        <v>2000</v>
      </c>
      <c r="I81">
        <v>43876.73</v>
      </c>
      <c r="J81">
        <v>95.640490999999997</v>
      </c>
    </row>
    <row r="82" spans="1:10" x14ac:dyDescent="0.3">
      <c r="A82" t="s">
        <v>180</v>
      </c>
      <c r="B82" t="s">
        <v>94</v>
      </c>
      <c r="C82" t="s">
        <v>17</v>
      </c>
      <c r="D82" s="1">
        <v>45548</v>
      </c>
      <c r="E82" t="s">
        <v>24</v>
      </c>
      <c r="F82" t="s">
        <v>28</v>
      </c>
      <c r="G82">
        <v>5930</v>
      </c>
      <c r="H82">
        <v>2000</v>
      </c>
      <c r="I82">
        <v>3930</v>
      </c>
      <c r="J82">
        <v>66.273186999999993</v>
      </c>
    </row>
    <row r="83" spans="1:10" x14ac:dyDescent="0.3">
      <c r="A83" t="s">
        <v>181</v>
      </c>
      <c r="B83" t="s">
        <v>182</v>
      </c>
      <c r="C83" t="s">
        <v>12</v>
      </c>
      <c r="D83" s="1">
        <v>45622</v>
      </c>
      <c r="E83" t="s">
        <v>57</v>
      </c>
      <c r="F83" t="s">
        <v>19</v>
      </c>
      <c r="G83">
        <v>33211.64</v>
      </c>
      <c r="H83">
        <v>12000</v>
      </c>
      <c r="I83">
        <v>21211.64</v>
      </c>
      <c r="J83">
        <v>63.868090000000002</v>
      </c>
    </row>
    <row r="84" spans="1:10" x14ac:dyDescent="0.3">
      <c r="A84" t="s">
        <v>183</v>
      </c>
      <c r="B84" t="s">
        <v>99</v>
      </c>
      <c r="C84" t="s">
        <v>17</v>
      </c>
      <c r="D84" s="1">
        <v>45323</v>
      </c>
      <c r="E84" t="s">
        <v>49</v>
      </c>
      <c r="F84" t="s">
        <v>28</v>
      </c>
      <c r="G84">
        <v>30679.33</v>
      </c>
      <c r="H84">
        <v>2000</v>
      </c>
      <c r="I84">
        <v>28679.33</v>
      </c>
      <c r="J84">
        <v>93.480953</v>
      </c>
    </row>
    <row r="85" spans="1:10" x14ac:dyDescent="0.3">
      <c r="A85" t="s">
        <v>184</v>
      </c>
      <c r="B85" t="s">
        <v>84</v>
      </c>
      <c r="C85" t="s">
        <v>64</v>
      </c>
      <c r="D85" s="1">
        <v>45484</v>
      </c>
      <c r="E85" t="s">
        <v>31</v>
      </c>
      <c r="F85" t="s">
        <v>28</v>
      </c>
      <c r="G85">
        <v>16091.45</v>
      </c>
      <c r="H85">
        <v>2000</v>
      </c>
      <c r="I85">
        <v>14091.45</v>
      </c>
      <c r="J85">
        <v>87.571038999999999</v>
      </c>
    </row>
    <row r="86" spans="1:10" x14ac:dyDescent="0.3">
      <c r="A86" t="s">
        <v>185</v>
      </c>
      <c r="B86" t="s">
        <v>186</v>
      </c>
      <c r="C86" t="s">
        <v>64</v>
      </c>
      <c r="D86" s="1">
        <v>45459</v>
      </c>
      <c r="E86" t="s">
        <v>41</v>
      </c>
      <c r="F86" t="s">
        <v>28</v>
      </c>
      <c r="G86">
        <v>14314.01</v>
      </c>
      <c r="H86">
        <v>2000</v>
      </c>
      <c r="I86">
        <v>12314.01</v>
      </c>
      <c r="J86">
        <v>86.027675000000002</v>
      </c>
    </row>
    <row r="87" spans="1:10" x14ac:dyDescent="0.3">
      <c r="A87" t="s">
        <v>187</v>
      </c>
      <c r="B87" t="s">
        <v>188</v>
      </c>
      <c r="C87" t="s">
        <v>12</v>
      </c>
      <c r="D87" s="1">
        <v>45320</v>
      </c>
      <c r="E87" t="s">
        <v>44</v>
      </c>
      <c r="F87" t="s">
        <v>14</v>
      </c>
      <c r="G87">
        <v>37443.160000000003</v>
      </c>
      <c r="H87">
        <v>500</v>
      </c>
      <c r="I87">
        <v>36943.160000000003</v>
      </c>
      <c r="J87">
        <v>98.664642999999998</v>
      </c>
    </row>
    <row r="88" spans="1:10" x14ac:dyDescent="0.3">
      <c r="A88" t="s">
        <v>189</v>
      </c>
      <c r="B88" t="s">
        <v>82</v>
      </c>
      <c r="C88" t="s">
        <v>17</v>
      </c>
      <c r="D88" s="1">
        <v>45505</v>
      </c>
      <c r="E88" t="s">
        <v>47</v>
      </c>
      <c r="F88" t="s">
        <v>14</v>
      </c>
      <c r="G88">
        <v>34865.449999999997</v>
      </c>
      <c r="H88">
        <v>500</v>
      </c>
      <c r="I88">
        <v>34365.449999999997</v>
      </c>
      <c r="J88">
        <v>98.565916000000001</v>
      </c>
    </row>
    <row r="89" spans="1:10" x14ac:dyDescent="0.3">
      <c r="A89" t="s">
        <v>190</v>
      </c>
      <c r="B89" t="s">
        <v>191</v>
      </c>
      <c r="C89" t="s">
        <v>64</v>
      </c>
      <c r="D89" s="1">
        <v>45545</v>
      </c>
      <c r="E89" t="s">
        <v>24</v>
      </c>
      <c r="F89" t="s">
        <v>32</v>
      </c>
      <c r="G89">
        <v>12353.31</v>
      </c>
      <c r="H89">
        <v>30000</v>
      </c>
      <c r="I89">
        <v>-17646.689999999999</v>
      </c>
      <c r="J89">
        <v>-142.84989200000001</v>
      </c>
    </row>
    <row r="90" spans="1:10" x14ac:dyDescent="0.3">
      <c r="A90" t="s">
        <v>192</v>
      </c>
      <c r="B90" t="s">
        <v>193</v>
      </c>
      <c r="C90" t="s">
        <v>17</v>
      </c>
      <c r="D90" s="1">
        <v>45399</v>
      </c>
      <c r="E90" t="s">
        <v>27</v>
      </c>
      <c r="F90" t="s">
        <v>28</v>
      </c>
      <c r="G90">
        <v>33326.44</v>
      </c>
      <c r="H90">
        <v>2000</v>
      </c>
      <c r="I90">
        <v>31326.44</v>
      </c>
      <c r="J90">
        <v>93.998759000000007</v>
      </c>
    </row>
    <row r="91" spans="1:10" x14ac:dyDescent="0.3">
      <c r="A91" t="s">
        <v>194</v>
      </c>
      <c r="B91" t="s">
        <v>195</v>
      </c>
      <c r="C91" t="s">
        <v>64</v>
      </c>
      <c r="D91" s="1">
        <v>45526</v>
      </c>
      <c r="E91" t="s">
        <v>47</v>
      </c>
      <c r="F91" t="s">
        <v>28</v>
      </c>
      <c r="G91">
        <v>39149.300000000003</v>
      </c>
      <c r="H91">
        <v>2000</v>
      </c>
      <c r="I91">
        <v>37149.300000000003</v>
      </c>
      <c r="J91">
        <v>94.891351999999998</v>
      </c>
    </row>
    <row r="92" spans="1:10" x14ac:dyDescent="0.3">
      <c r="A92" t="s">
        <v>196</v>
      </c>
      <c r="B92" t="s">
        <v>139</v>
      </c>
      <c r="C92" t="s">
        <v>17</v>
      </c>
      <c r="D92" s="1">
        <v>45511</v>
      </c>
      <c r="E92" t="s">
        <v>47</v>
      </c>
      <c r="F92" t="s">
        <v>19</v>
      </c>
      <c r="G92">
        <v>31388.21</v>
      </c>
      <c r="H92">
        <v>12000</v>
      </c>
      <c r="I92">
        <v>19388.21</v>
      </c>
      <c r="J92">
        <v>61.769084999999997</v>
      </c>
    </row>
    <row r="93" spans="1:10" x14ac:dyDescent="0.3">
      <c r="A93" t="s">
        <v>197</v>
      </c>
      <c r="B93" t="s">
        <v>198</v>
      </c>
      <c r="C93" t="s">
        <v>17</v>
      </c>
      <c r="D93" s="1">
        <v>45627</v>
      </c>
      <c r="E93" t="s">
        <v>95</v>
      </c>
      <c r="F93" t="s">
        <v>28</v>
      </c>
      <c r="G93">
        <v>18835.509999999998</v>
      </c>
      <c r="H93">
        <v>2000</v>
      </c>
      <c r="I93">
        <v>16835.509999999998</v>
      </c>
      <c r="J93">
        <v>89.381758000000005</v>
      </c>
    </row>
    <row r="94" spans="1:10" x14ac:dyDescent="0.3">
      <c r="A94" t="s">
        <v>199</v>
      </c>
      <c r="B94" t="s">
        <v>84</v>
      </c>
      <c r="C94" t="s">
        <v>64</v>
      </c>
      <c r="D94" s="1">
        <v>45491</v>
      </c>
      <c r="E94" t="s">
        <v>31</v>
      </c>
      <c r="F94" t="s">
        <v>28</v>
      </c>
      <c r="G94">
        <v>39541.410000000003</v>
      </c>
      <c r="H94">
        <v>2000</v>
      </c>
      <c r="I94">
        <v>37541.410000000003</v>
      </c>
      <c r="J94">
        <v>94.942010999999994</v>
      </c>
    </row>
    <row r="95" spans="1:10" x14ac:dyDescent="0.3">
      <c r="A95" t="s">
        <v>200</v>
      </c>
      <c r="B95" t="s">
        <v>39</v>
      </c>
      <c r="C95" t="s">
        <v>40</v>
      </c>
      <c r="D95" s="1">
        <v>45297</v>
      </c>
      <c r="E95" t="s">
        <v>44</v>
      </c>
      <c r="F95" t="s">
        <v>19</v>
      </c>
      <c r="G95">
        <v>31049.72</v>
      </c>
      <c r="H95">
        <v>12000</v>
      </c>
      <c r="I95">
        <v>19049.72</v>
      </c>
      <c r="J95">
        <v>61.352308000000001</v>
      </c>
    </row>
    <row r="96" spans="1:10" x14ac:dyDescent="0.3">
      <c r="A96" t="s">
        <v>201</v>
      </c>
      <c r="B96" t="s">
        <v>202</v>
      </c>
      <c r="C96" t="s">
        <v>12</v>
      </c>
      <c r="D96" s="1">
        <v>45369</v>
      </c>
      <c r="E96" t="s">
        <v>18</v>
      </c>
      <c r="F96" t="s">
        <v>28</v>
      </c>
      <c r="G96">
        <v>24278.75</v>
      </c>
      <c r="H96">
        <v>2000</v>
      </c>
      <c r="I96">
        <v>22278.75</v>
      </c>
      <c r="J96">
        <v>91.762343999999999</v>
      </c>
    </row>
    <row r="97" spans="1:10" x14ac:dyDescent="0.3">
      <c r="A97" t="s">
        <v>203</v>
      </c>
      <c r="B97" t="s">
        <v>204</v>
      </c>
      <c r="C97" t="s">
        <v>40</v>
      </c>
      <c r="D97" s="1">
        <v>45322</v>
      </c>
      <c r="E97" t="s">
        <v>44</v>
      </c>
      <c r="F97" t="s">
        <v>32</v>
      </c>
      <c r="G97">
        <v>568.96</v>
      </c>
      <c r="H97">
        <v>30000</v>
      </c>
      <c r="I97">
        <v>-29431.040000000001</v>
      </c>
      <c r="J97">
        <v>-5172.7784030000003</v>
      </c>
    </row>
    <row r="98" spans="1:10" x14ac:dyDescent="0.3">
      <c r="A98" t="s">
        <v>205</v>
      </c>
      <c r="B98" t="s">
        <v>206</v>
      </c>
      <c r="C98" t="s">
        <v>40</v>
      </c>
      <c r="D98" s="1">
        <v>45583</v>
      </c>
      <c r="E98" t="s">
        <v>13</v>
      </c>
      <c r="F98" t="s">
        <v>32</v>
      </c>
      <c r="G98">
        <v>23986.71</v>
      </c>
      <c r="H98">
        <v>30000</v>
      </c>
      <c r="I98">
        <v>-6013.29</v>
      </c>
      <c r="J98">
        <v>-25.069257</v>
      </c>
    </row>
    <row r="99" spans="1:10" x14ac:dyDescent="0.3">
      <c r="A99" t="s">
        <v>207</v>
      </c>
      <c r="B99" t="s">
        <v>208</v>
      </c>
      <c r="C99" t="s">
        <v>12</v>
      </c>
      <c r="D99" s="1">
        <v>45368</v>
      </c>
      <c r="E99" t="s">
        <v>18</v>
      </c>
      <c r="F99" t="s">
        <v>14</v>
      </c>
      <c r="G99">
        <v>26645.18</v>
      </c>
      <c r="H99">
        <v>500</v>
      </c>
      <c r="I99">
        <v>26145.18</v>
      </c>
      <c r="J99">
        <v>98.123487999999995</v>
      </c>
    </row>
    <row r="100" spans="1:10" x14ac:dyDescent="0.3">
      <c r="A100" t="s">
        <v>209</v>
      </c>
      <c r="B100" t="s">
        <v>210</v>
      </c>
      <c r="C100" t="s">
        <v>64</v>
      </c>
      <c r="D100" s="1">
        <v>45604</v>
      </c>
      <c r="E100" t="s">
        <v>57</v>
      </c>
      <c r="F100" t="s">
        <v>32</v>
      </c>
      <c r="G100">
        <v>7373.01</v>
      </c>
      <c r="H100">
        <v>30000</v>
      </c>
      <c r="I100">
        <v>-22626.99</v>
      </c>
      <c r="J100">
        <v>-306.88945200000001</v>
      </c>
    </row>
    <row r="101" spans="1:10" x14ac:dyDescent="0.3">
      <c r="A101" t="s">
        <v>211</v>
      </c>
      <c r="B101" t="s">
        <v>212</v>
      </c>
      <c r="C101" t="s">
        <v>12</v>
      </c>
      <c r="D101" s="1">
        <v>45581</v>
      </c>
      <c r="E101" t="s">
        <v>13</v>
      </c>
      <c r="F101" t="s">
        <v>32</v>
      </c>
      <c r="G101">
        <v>34917.360000000001</v>
      </c>
      <c r="H101">
        <v>30000</v>
      </c>
      <c r="I101">
        <v>4917.3599999999997</v>
      </c>
      <c r="J101">
        <v>14.082852000000001</v>
      </c>
    </row>
    <row r="102" spans="1:10" x14ac:dyDescent="0.3">
      <c r="A102" t="s">
        <v>213</v>
      </c>
      <c r="B102" t="s">
        <v>170</v>
      </c>
      <c r="C102" t="s">
        <v>64</v>
      </c>
      <c r="D102" s="1">
        <v>45390</v>
      </c>
      <c r="E102" t="s">
        <v>27</v>
      </c>
      <c r="F102" t="s">
        <v>28</v>
      </c>
      <c r="G102">
        <v>45967.92</v>
      </c>
      <c r="H102">
        <v>2000</v>
      </c>
      <c r="I102">
        <v>43967.92</v>
      </c>
      <c r="J102">
        <v>95.649140000000003</v>
      </c>
    </row>
    <row r="103" spans="1:10" x14ac:dyDescent="0.3">
      <c r="A103" t="s">
        <v>214</v>
      </c>
      <c r="B103" t="s">
        <v>215</v>
      </c>
      <c r="C103" t="s">
        <v>17</v>
      </c>
      <c r="D103" s="1">
        <v>45489</v>
      </c>
      <c r="E103" t="s">
        <v>31</v>
      </c>
      <c r="F103" t="s">
        <v>32</v>
      </c>
      <c r="G103">
        <v>2262.21</v>
      </c>
      <c r="H103">
        <v>30000</v>
      </c>
      <c r="I103">
        <v>-27737.79</v>
      </c>
      <c r="J103">
        <v>-1226.136831</v>
      </c>
    </row>
    <row r="104" spans="1:10" x14ac:dyDescent="0.3">
      <c r="A104" t="s">
        <v>216</v>
      </c>
      <c r="B104" t="s">
        <v>217</v>
      </c>
      <c r="C104" t="s">
        <v>64</v>
      </c>
      <c r="D104" s="1">
        <v>45523</v>
      </c>
      <c r="E104" t="s">
        <v>47</v>
      </c>
      <c r="F104" t="s">
        <v>14</v>
      </c>
      <c r="G104">
        <v>1064.03</v>
      </c>
      <c r="H104">
        <v>500</v>
      </c>
      <c r="I104">
        <v>564.03</v>
      </c>
      <c r="J104">
        <v>53.008844000000003</v>
      </c>
    </row>
    <row r="105" spans="1:10" x14ac:dyDescent="0.3">
      <c r="A105" t="s">
        <v>218</v>
      </c>
      <c r="B105" t="s">
        <v>177</v>
      </c>
      <c r="C105" t="s">
        <v>64</v>
      </c>
      <c r="D105" s="1">
        <v>45454</v>
      </c>
      <c r="E105" t="s">
        <v>41</v>
      </c>
      <c r="F105" t="s">
        <v>28</v>
      </c>
      <c r="G105">
        <v>4234.43</v>
      </c>
      <c r="H105">
        <v>2000</v>
      </c>
      <c r="I105">
        <v>2234.4299999999998</v>
      </c>
      <c r="J105">
        <v>52.768141</v>
      </c>
    </row>
    <row r="106" spans="1:10" x14ac:dyDescent="0.3">
      <c r="A106" t="s">
        <v>219</v>
      </c>
      <c r="B106" t="s">
        <v>70</v>
      </c>
      <c r="C106" t="s">
        <v>64</v>
      </c>
      <c r="D106" s="1">
        <v>45318</v>
      </c>
      <c r="E106" t="s">
        <v>44</v>
      </c>
      <c r="F106" t="s">
        <v>32</v>
      </c>
      <c r="G106">
        <v>21725.97</v>
      </c>
      <c r="H106">
        <v>30000</v>
      </c>
      <c r="I106">
        <v>-8274.0300000000007</v>
      </c>
      <c r="J106">
        <v>-38.083593</v>
      </c>
    </row>
    <row r="107" spans="1:10" x14ac:dyDescent="0.3">
      <c r="A107" t="s">
        <v>220</v>
      </c>
      <c r="B107" t="s">
        <v>221</v>
      </c>
      <c r="C107" t="s">
        <v>64</v>
      </c>
      <c r="D107" s="1">
        <v>45612</v>
      </c>
      <c r="E107" t="s">
        <v>57</v>
      </c>
      <c r="F107" t="s">
        <v>32</v>
      </c>
      <c r="G107">
        <v>1340.61</v>
      </c>
      <c r="H107">
        <v>30000</v>
      </c>
      <c r="I107">
        <v>-28659.39</v>
      </c>
      <c r="J107">
        <v>-2137.787276</v>
      </c>
    </row>
    <row r="108" spans="1:10" x14ac:dyDescent="0.3">
      <c r="A108" t="s">
        <v>222</v>
      </c>
      <c r="B108" t="s">
        <v>223</v>
      </c>
      <c r="C108" t="s">
        <v>64</v>
      </c>
      <c r="D108" s="1">
        <v>45309</v>
      </c>
      <c r="E108" t="s">
        <v>44</v>
      </c>
      <c r="F108" t="s">
        <v>14</v>
      </c>
      <c r="G108">
        <v>32493.33</v>
      </c>
      <c r="H108">
        <v>500</v>
      </c>
      <c r="I108">
        <v>31993.33</v>
      </c>
      <c r="J108">
        <v>98.461223000000004</v>
      </c>
    </row>
    <row r="109" spans="1:10" x14ac:dyDescent="0.3">
      <c r="A109" t="s">
        <v>224</v>
      </c>
      <c r="B109" t="s">
        <v>225</v>
      </c>
      <c r="C109" t="s">
        <v>40</v>
      </c>
      <c r="D109" s="1">
        <v>45535</v>
      </c>
      <c r="E109" t="s">
        <v>47</v>
      </c>
      <c r="F109" t="s">
        <v>32</v>
      </c>
      <c r="G109">
        <v>36398.43</v>
      </c>
      <c r="H109">
        <v>30000</v>
      </c>
      <c r="I109">
        <v>6398.43</v>
      </c>
      <c r="J109">
        <v>17.578862999999998</v>
      </c>
    </row>
    <row r="110" spans="1:10" x14ac:dyDescent="0.3">
      <c r="A110" t="s">
        <v>226</v>
      </c>
      <c r="B110" t="s">
        <v>63</v>
      </c>
      <c r="C110" t="s">
        <v>64</v>
      </c>
      <c r="D110" s="1">
        <v>45540</v>
      </c>
      <c r="E110" t="s">
        <v>24</v>
      </c>
      <c r="F110" t="s">
        <v>28</v>
      </c>
      <c r="G110">
        <v>26300.18</v>
      </c>
      <c r="H110">
        <v>2000</v>
      </c>
      <c r="I110">
        <v>24300.18</v>
      </c>
      <c r="J110">
        <v>92.395488999999998</v>
      </c>
    </row>
    <row r="111" spans="1:10" x14ac:dyDescent="0.3">
      <c r="A111" t="s">
        <v>227</v>
      </c>
      <c r="B111" t="s">
        <v>84</v>
      </c>
      <c r="C111" t="s">
        <v>64</v>
      </c>
      <c r="D111" s="1">
        <v>45389</v>
      </c>
      <c r="E111" t="s">
        <v>27</v>
      </c>
      <c r="F111" t="s">
        <v>19</v>
      </c>
      <c r="G111">
        <v>32452.39</v>
      </c>
      <c r="H111">
        <v>12000</v>
      </c>
      <c r="I111">
        <v>20452.39</v>
      </c>
      <c r="J111">
        <v>63.022753999999999</v>
      </c>
    </row>
    <row r="112" spans="1:10" x14ac:dyDescent="0.3">
      <c r="A112" t="s">
        <v>228</v>
      </c>
      <c r="B112" t="s">
        <v>109</v>
      </c>
      <c r="C112" t="s">
        <v>40</v>
      </c>
      <c r="D112" s="1">
        <v>45564</v>
      </c>
      <c r="E112" t="s">
        <v>24</v>
      </c>
      <c r="F112" t="s">
        <v>19</v>
      </c>
      <c r="G112">
        <v>10829.99</v>
      </c>
      <c r="H112">
        <v>12000</v>
      </c>
      <c r="I112">
        <v>-1170.01</v>
      </c>
      <c r="J112">
        <v>-10.803426</v>
      </c>
    </row>
    <row r="113" spans="1:10" x14ac:dyDescent="0.3">
      <c r="A113" t="s">
        <v>229</v>
      </c>
      <c r="B113" t="s">
        <v>128</v>
      </c>
      <c r="C113" t="s">
        <v>17</v>
      </c>
      <c r="D113" s="1">
        <v>45397</v>
      </c>
      <c r="E113" t="s">
        <v>27</v>
      </c>
      <c r="F113" t="s">
        <v>14</v>
      </c>
      <c r="G113">
        <v>22807.56</v>
      </c>
      <c r="H113">
        <v>500</v>
      </c>
      <c r="I113">
        <v>22307.56</v>
      </c>
      <c r="J113">
        <v>97.807744</v>
      </c>
    </row>
    <row r="114" spans="1:10" x14ac:dyDescent="0.3">
      <c r="A114" t="s">
        <v>230</v>
      </c>
      <c r="B114" t="s">
        <v>231</v>
      </c>
      <c r="C114" t="s">
        <v>64</v>
      </c>
      <c r="D114" s="1">
        <v>45438</v>
      </c>
      <c r="E114" t="s">
        <v>37</v>
      </c>
      <c r="F114" t="s">
        <v>19</v>
      </c>
      <c r="G114">
        <v>43967.62</v>
      </c>
      <c r="H114">
        <v>12000</v>
      </c>
      <c r="I114">
        <v>31967.62</v>
      </c>
      <c r="J114">
        <v>72.707188000000002</v>
      </c>
    </row>
    <row r="115" spans="1:10" x14ac:dyDescent="0.3">
      <c r="A115" t="s">
        <v>232</v>
      </c>
      <c r="B115" t="s">
        <v>233</v>
      </c>
      <c r="C115" t="s">
        <v>17</v>
      </c>
      <c r="D115" s="1">
        <v>45364</v>
      </c>
      <c r="E115" t="s">
        <v>18</v>
      </c>
      <c r="F115" t="s">
        <v>19</v>
      </c>
      <c r="G115">
        <v>44508.94</v>
      </c>
      <c r="H115">
        <v>12000</v>
      </c>
      <c r="I115">
        <v>32508.94</v>
      </c>
      <c r="J115">
        <v>73.039124000000001</v>
      </c>
    </row>
    <row r="116" spans="1:10" x14ac:dyDescent="0.3">
      <c r="A116" t="s">
        <v>234</v>
      </c>
      <c r="B116" t="s">
        <v>235</v>
      </c>
      <c r="C116" t="s">
        <v>12</v>
      </c>
      <c r="D116" s="1">
        <v>45323</v>
      </c>
      <c r="E116" t="s">
        <v>49</v>
      </c>
      <c r="F116" t="s">
        <v>28</v>
      </c>
      <c r="G116">
        <v>1057.33</v>
      </c>
      <c r="H116">
        <v>2000</v>
      </c>
      <c r="I116">
        <v>-942.67</v>
      </c>
      <c r="J116">
        <v>-89.155704</v>
      </c>
    </row>
    <row r="117" spans="1:10" x14ac:dyDescent="0.3">
      <c r="A117" t="s">
        <v>236</v>
      </c>
      <c r="B117" t="s">
        <v>237</v>
      </c>
      <c r="C117" t="s">
        <v>40</v>
      </c>
      <c r="D117" s="1">
        <v>45626</v>
      </c>
      <c r="E117" t="s">
        <v>57</v>
      </c>
      <c r="F117" t="s">
        <v>19</v>
      </c>
      <c r="G117">
        <v>28386.14</v>
      </c>
      <c r="H117">
        <v>12000</v>
      </c>
      <c r="I117">
        <v>16386.14</v>
      </c>
      <c r="J117">
        <v>57.725847999999999</v>
      </c>
    </row>
    <row r="118" spans="1:10" x14ac:dyDescent="0.3">
      <c r="A118" t="s">
        <v>238</v>
      </c>
      <c r="B118" t="s">
        <v>134</v>
      </c>
      <c r="C118" t="s">
        <v>40</v>
      </c>
      <c r="D118" s="1">
        <v>45560</v>
      </c>
      <c r="E118" t="s">
        <v>24</v>
      </c>
      <c r="F118" t="s">
        <v>28</v>
      </c>
      <c r="G118">
        <v>47124.63</v>
      </c>
      <c r="H118">
        <v>2000</v>
      </c>
      <c r="I118">
        <v>45124.63</v>
      </c>
      <c r="J118">
        <v>95.755934999999994</v>
      </c>
    </row>
    <row r="119" spans="1:10" x14ac:dyDescent="0.3">
      <c r="A119" t="s">
        <v>239</v>
      </c>
      <c r="B119" t="s">
        <v>240</v>
      </c>
      <c r="C119" t="s">
        <v>64</v>
      </c>
      <c r="D119" s="1">
        <v>45347</v>
      </c>
      <c r="E119" t="s">
        <v>49</v>
      </c>
      <c r="F119" t="s">
        <v>19</v>
      </c>
      <c r="G119">
        <v>45507.01</v>
      </c>
      <c r="H119">
        <v>12000</v>
      </c>
      <c r="I119">
        <v>33507.01</v>
      </c>
      <c r="J119">
        <v>73.630436000000003</v>
      </c>
    </row>
    <row r="120" spans="1:10" x14ac:dyDescent="0.3">
      <c r="A120" t="s">
        <v>241</v>
      </c>
      <c r="B120" t="s">
        <v>101</v>
      </c>
      <c r="C120" t="s">
        <v>17</v>
      </c>
      <c r="D120" s="1">
        <v>45424</v>
      </c>
      <c r="E120" t="s">
        <v>37</v>
      </c>
      <c r="F120" t="s">
        <v>28</v>
      </c>
      <c r="G120">
        <v>6051.96</v>
      </c>
      <c r="H120">
        <v>2000</v>
      </c>
      <c r="I120">
        <v>4051.96</v>
      </c>
      <c r="J120">
        <v>66.952855</v>
      </c>
    </row>
    <row r="121" spans="1:10" x14ac:dyDescent="0.3">
      <c r="A121" t="s">
        <v>242</v>
      </c>
      <c r="B121" t="s">
        <v>243</v>
      </c>
      <c r="C121" t="s">
        <v>17</v>
      </c>
      <c r="D121" s="1">
        <v>45422</v>
      </c>
      <c r="E121" t="s">
        <v>37</v>
      </c>
      <c r="F121" t="s">
        <v>32</v>
      </c>
      <c r="G121">
        <v>2936.17</v>
      </c>
      <c r="H121">
        <v>30000</v>
      </c>
      <c r="I121">
        <v>-27063.83</v>
      </c>
      <c r="J121">
        <v>-921.73920399999997</v>
      </c>
    </row>
    <row r="122" spans="1:10" x14ac:dyDescent="0.3">
      <c r="A122" t="s">
        <v>244</v>
      </c>
      <c r="B122" t="s">
        <v>245</v>
      </c>
      <c r="C122" t="s">
        <v>17</v>
      </c>
      <c r="D122" s="1">
        <v>45599</v>
      </c>
      <c r="E122" t="s">
        <v>57</v>
      </c>
      <c r="F122" t="s">
        <v>32</v>
      </c>
      <c r="G122">
        <v>44728.41</v>
      </c>
      <c r="H122">
        <v>30000</v>
      </c>
      <c r="I122">
        <v>14728.41</v>
      </c>
      <c r="J122">
        <v>32.928534999999997</v>
      </c>
    </row>
    <row r="123" spans="1:10" x14ac:dyDescent="0.3">
      <c r="A123" t="s">
        <v>246</v>
      </c>
      <c r="B123" t="s">
        <v>247</v>
      </c>
      <c r="C123" t="s">
        <v>40</v>
      </c>
      <c r="D123" s="1">
        <v>45492</v>
      </c>
      <c r="E123" t="s">
        <v>31</v>
      </c>
      <c r="F123" t="s">
        <v>32</v>
      </c>
      <c r="G123">
        <v>45424.2</v>
      </c>
      <c r="H123">
        <v>30000</v>
      </c>
      <c r="I123">
        <v>15424.2</v>
      </c>
      <c r="J123">
        <v>33.955908999999998</v>
      </c>
    </row>
    <row r="124" spans="1:10" x14ac:dyDescent="0.3">
      <c r="A124" t="s">
        <v>248</v>
      </c>
      <c r="B124" t="s">
        <v>249</v>
      </c>
      <c r="C124" t="s">
        <v>64</v>
      </c>
      <c r="D124" s="1">
        <v>45326</v>
      </c>
      <c r="E124" t="s">
        <v>49</v>
      </c>
      <c r="F124" t="s">
        <v>32</v>
      </c>
      <c r="G124">
        <v>16188.31</v>
      </c>
      <c r="H124">
        <v>30000</v>
      </c>
      <c r="I124">
        <v>-13811.69</v>
      </c>
      <c r="J124">
        <v>-85.318911999999997</v>
      </c>
    </row>
    <row r="125" spans="1:10" x14ac:dyDescent="0.3">
      <c r="A125" t="s">
        <v>250</v>
      </c>
      <c r="B125" t="s">
        <v>204</v>
      </c>
      <c r="C125" t="s">
        <v>40</v>
      </c>
      <c r="D125" s="1">
        <v>45645</v>
      </c>
      <c r="E125" t="s">
        <v>95</v>
      </c>
      <c r="F125" t="s">
        <v>19</v>
      </c>
      <c r="G125">
        <v>24175.83</v>
      </c>
      <c r="H125">
        <v>12000</v>
      </c>
      <c r="I125">
        <v>12175.83</v>
      </c>
      <c r="J125">
        <v>50.363647999999998</v>
      </c>
    </row>
    <row r="126" spans="1:10" x14ac:dyDescent="0.3">
      <c r="A126" t="s">
        <v>251</v>
      </c>
      <c r="B126" t="s">
        <v>99</v>
      </c>
      <c r="C126" t="s">
        <v>17</v>
      </c>
      <c r="D126" s="1">
        <v>45516</v>
      </c>
      <c r="E126" t="s">
        <v>47</v>
      </c>
      <c r="F126" t="s">
        <v>32</v>
      </c>
      <c r="G126">
        <v>10089.59</v>
      </c>
      <c r="H126">
        <v>30000</v>
      </c>
      <c r="I126">
        <v>-19910.41</v>
      </c>
      <c r="J126">
        <v>-197.33616499999999</v>
      </c>
    </row>
    <row r="127" spans="1:10" x14ac:dyDescent="0.3">
      <c r="A127" t="s">
        <v>252</v>
      </c>
      <c r="B127" t="s">
        <v>249</v>
      </c>
      <c r="C127" t="s">
        <v>64</v>
      </c>
      <c r="D127" s="1">
        <v>45500</v>
      </c>
      <c r="E127" t="s">
        <v>31</v>
      </c>
      <c r="F127" t="s">
        <v>28</v>
      </c>
      <c r="G127">
        <v>41925.440000000002</v>
      </c>
      <c r="H127">
        <v>2000</v>
      </c>
      <c r="I127">
        <v>39925.440000000002</v>
      </c>
      <c r="J127">
        <v>95.229626999999994</v>
      </c>
    </row>
    <row r="128" spans="1:10" x14ac:dyDescent="0.3">
      <c r="A128" t="s">
        <v>253</v>
      </c>
      <c r="B128" t="s">
        <v>132</v>
      </c>
      <c r="C128" t="s">
        <v>64</v>
      </c>
      <c r="D128" s="1">
        <v>45330</v>
      </c>
      <c r="E128" t="s">
        <v>49</v>
      </c>
      <c r="F128" t="s">
        <v>14</v>
      </c>
      <c r="G128">
        <v>22759.360000000001</v>
      </c>
      <c r="H128">
        <v>500</v>
      </c>
      <c r="I128">
        <v>22259.360000000001</v>
      </c>
      <c r="J128">
        <v>97.803101999999996</v>
      </c>
    </row>
    <row r="129" spans="1:10" x14ac:dyDescent="0.3">
      <c r="A129" t="s">
        <v>254</v>
      </c>
      <c r="B129" t="s">
        <v>255</v>
      </c>
      <c r="C129" t="s">
        <v>64</v>
      </c>
      <c r="D129" s="1">
        <v>45542</v>
      </c>
      <c r="E129" t="s">
        <v>24</v>
      </c>
      <c r="F129" t="s">
        <v>14</v>
      </c>
      <c r="G129">
        <v>16670.64</v>
      </c>
      <c r="H129">
        <v>500</v>
      </c>
      <c r="I129">
        <v>16170.64</v>
      </c>
      <c r="J129">
        <v>97.000715</v>
      </c>
    </row>
    <row r="130" spans="1:10" x14ac:dyDescent="0.3">
      <c r="A130" t="s">
        <v>256</v>
      </c>
      <c r="B130" t="s">
        <v>257</v>
      </c>
      <c r="C130" t="s">
        <v>12</v>
      </c>
      <c r="D130" s="1">
        <v>45594</v>
      </c>
      <c r="E130" t="s">
        <v>13</v>
      </c>
      <c r="F130" t="s">
        <v>19</v>
      </c>
      <c r="G130">
        <v>43164.99</v>
      </c>
      <c r="H130">
        <v>12000</v>
      </c>
      <c r="I130">
        <v>31164.99</v>
      </c>
      <c r="J130">
        <v>72.199691999999999</v>
      </c>
    </row>
    <row r="131" spans="1:10" x14ac:dyDescent="0.3">
      <c r="A131" t="s">
        <v>258</v>
      </c>
      <c r="B131" t="s">
        <v>259</v>
      </c>
      <c r="C131" t="s">
        <v>17</v>
      </c>
      <c r="D131" s="1">
        <v>45449</v>
      </c>
      <c r="E131" t="s">
        <v>41</v>
      </c>
      <c r="F131" t="s">
        <v>14</v>
      </c>
      <c r="G131">
        <v>1900.84</v>
      </c>
      <c r="H131">
        <v>500</v>
      </c>
      <c r="I131">
        <v>1400.84</v>
      </c>
      <c r="J131">
        <v>73.695840000000004</v>
      </c>
    </row>
    <row r="132" spans="1:10" x14ac:dyDescent="0.3">
      <c r="A132" t="s">
        <v>260</v>
      </c>
      <c r="B132" t="s">
        <v>261</v>
      </c>
      <c r="C132" t="s">
        <v>40</v>
      </c>
      <c r="D132" s="1">
        <v>45500</v>
      </c>
      <c r="E132" t="s">
        <v>31</v>
      </c>
      <c r="F132" t="s">
        <v>14</v>
      </c>
      <c r="G132">
        <v>49145.29</v>
      </c>
      <c r="H132">
        <v>500</v>
      </c>
      <c r="I132">
        <v>48645.29</v>
      </c>
      <c r="J132">
        <v>98.982608999999997</v>
      </c>
    </row>
    <row r="133" spans="1:10" x14ac:dyDescent="0.3">
      <c r="A133" t="s">
        <v>262</v>
      </c>
      <c r="B133" t="s">
        <v>263</v>
      </c>
      <c r="C133" t="s">
        <v>64</v>
      </c>
      <c r="D133" s="1">
        <v>45477</v>
      </c>
      <c r="E133" t="s">
        <v>31</v>
      </c>
      <c r="F133" t="s">
        <v>28</v>
      </c>
      <c r="G133">
        <v>11896.18</v>
      </c>
      <c r="H133">
        <v>2000</v>
      </c>
      <c r="I133">
        <v>9896.18</v>
      </c>
      <c r="J133">
        <v>83.187880000000007</v>
      </c>
    </row>
    <row r="134" spans="1:10" x14ac:dyDescent="0.3">
      <c r="A134" t="s">
        <v>264</v>
      </c>
      <c r="B134" t="s">
        <v>109</v>
      </c>
      <c r="C134" t="s">
        <v>40</v>
      </c>
      <c r="D134" s="1">
        <v>45390</v>
      </c>
      <c r="E134" t="s">
        <v>27</v>
      </c>
      <c r="F134" t="s">
        <v>32</v>
      </c>
      <c r="G134">
        <v>39061.9</v>
      </c>
      <c r="H134">
        <v>30000</v>
      </c>
      <c r="I134">
        <v>9061.9</v>
      </c>
      <c r="J134">
        <v>23.198820000000001</v>
      </c>
    </row>
    <row r="135" spans="1:10" x14ac:dyDescent="0.3">
      <c r="A135" t="s">
        <v>265</v>
      </c>
      <c r="B135" t="s">
        <v>266</v>
      </c>
      <c r="C135" t="s">
        <v>12</v>
      </c>
      <c r="D135" s="1">
        <v>45498</v>
      </c>
      <c r="E135" t="s">
        <v>31</v>
      </c>
      <c r="F135" t="s">
        <v>32</v>
      </c>
      <c r="G135">
        <v>10029.07</v>
      </c>
      <c r="H135">
        <v>30000</v>
      </c>
      <c r="I135">
        <v>-19970.93</v>
      </c>
      <c r="J135">
        <v>-199.13042799999999</v>
      </c>
    </row>
    <row r="136" spans="1:10" x14ac:dyDescent="0.3">
      <c r="A136" t="s">
        <v>267</v>
      </c>
      <c r="B136" t="s">
        <v>268</v>
      </c>
      <c r="C136" t="s">
        <v>17</v>
      </c>
      <c r="D136" s="1">
        <v>45435</v>
      </c>
      <c r="E136" t="s">
        <v>37</v>
      </c>
      <c r="F136" t="s">
        <v>19</v>
      </c>
      <c r="G136">
        <v>35338.86</v>
      </c>
      <c r="H136">
        <v>12000</v>
      </c>
      <c r="I136">
        <v>23338.86</v>
      </c>
      <c r="J136">
        <v>66.043047000000001</v>
      </c>
    </row>
    <row r="137" spans="1:10" x14ac:dyDescent="0.3">
      <c r="A137" t="s">
        <v>269</v>
      </c>
      <c r="B137" t="s">
        <v>270</v>
      </c>
      <c r="C137" t="s">
        <v>17</v>
      </c>
      <c r="D137" s="1">
        <v>45438</v>
      </c>
      <c r="E137" t="s">
        <v>37</v>
      </c>
      <c r="F137" t="s">
        <v>14</v>
      </c>
      <c r="G137">
        <v>22251.75</v>
      </c>
      <c r="H137">
        <v>500</v>
      </c>
      <c r="I137">
        <v>21751.75</v>
      </c>
      <c r="J137">
        <v>97.752986000000007</v>
      </c>
    </row>
    <row r="138" spans="1:10" x14ac:dyDescent="0.3">
      <c r="A138" t="s">
        <v>271</v>
      </c>
      <c r="B138" t="s">
        <v>261</v>
      </c>
      <c r="C138" t="s">
        <v>40</v>
      </c>
      <c r="D138" s="1">
        <v>45308</v>
      </c>
      <c r="E138" t="s">
        <v>44</v>
      </c>
      <c r="F138" t="s">
        <v>19</v>
      </c>
      <c r="G138">
        <v>18486.12</v>
      </c>
      <c r="H138">
        <v>12000</v>
      </c>
      <c r="I138">
        <v>6486.12</v>
      </c>
      <c r="J138">
        <v>35.086432000000002</v>
      </c>
    </row>
    <row r="139" spans="1:10" x14ac:dyDescent="0.3">
      <c r="A139" t="s">
        <v>272</v>
      </c>
      <c r="B139" t="s">
        <v>97</v>
      </c>
      <c r="C139" t="s">
        <v>40</v>
      </c>
      <c r="D139" s="1">
        <v>45445</v>
      </c>
      <c r="E139" t="s">
        <v>41</v>
      </c>
      <c r="F139" t="s">
        <v>14</v>
      </c>
      <c r="G139">
        <v>44361.47</v>
      </c>
      <c r="H139">
        <v>500</v>
      </c>
      <c r="I139">
        <v>43861.47</v>
      </c>
      <c r="J139">
        <v>98.872895999999997</v>
      </c>
    </row>
    <row r="140" spans="1:10" x14ac:dyDescent="0.3">
      <c r="A140" t="s">
        <v>273</v>
      </c>
      <c r="B140" t="s">
        <v>274</v>
      </c>
      <c r="C140" t="s">
        <v>40</v>
      </c>
      <c r="D140" s="1">
        <v>45553</v>
      </c>
      <c r="E140" t="s">
        <v>24</v>
      </c>
      <c r="F140" t="s">
        <v>14</v>
      </c>
      <c r="G140">
        <v>25542.09</v>
      </c>
      <c r="H140">
        <v>500</v>
      </c>
      <c r="I140">
        <v>25042.09</v>
      </c>
      <c r="J140">
        <v>98.042446999999996</v>
      </c>
    </row>
    <row r="141" spans="1:10" x14ac:dyDescent="0.3">
      <c r="A141" t="s">
        <v>275</v>
      </c>
      <c r="B141" t="s">
        <v>276</v>
      </c>
      <c r="C141" t="s">
        <v>40</v>
      </c>
      <c r="D141" s="1">
        <v>45349</v>
      </c>
      <c r="E141" t="s">
        <v>49</v>
      </c>
      <c r="F141" t="s">
        <v>28</v>
      </c>
      <c r="G141">
        <v>29243.17</v>
      </c>
      <c r="H141">
        <v>2000</v>
      </c>
      <c r="I141">
        <v>27243.17</v>
      </c>
      <c r="J141">
        <v>93.160796000000005</v>
      </c>
    </row>
    <row r="142" spans="1:10" x14ac:dyDescent="0.3">
      <c r="A142" t="s">
        <v>277</v>
      </c>
      <c r="B142" t="s">
        <v>278</v>
      </c>
      <c r="C142" t="s">
        <v>12</v>
      </c>
      <c r="D142" s="1">
        <v>45438</v>
      </c>
      <c r="E142" t="s">
        <v>37</v>
      </c>
      <c r="F142" t="s">
        <v>19</v>
      </c>
      <c r="G142">
        <v>11454.99</v>
      </c>
      <c r="H142">
        <v>12000</v>
      </c>
      <c r="I142">
        <v>-545.01</v>
      </c>
      <c r="J142">
        <v>-4.7578389999999997</v>
      </c>
    </row>
    <row r="143" spans="1:10" x14ac:dyDescent="0.3">
      <c r="A143" t="s">
        <v>279</v>
      </c>
      <c r="B143" t="s">
        <v>74</v>
      </c>
      <c r="C143" t="s">
        <v>40</v>
      </c>
      <c r="D143" s="1">
        <v>45584</v>
      </c>
      <c r="E143" t="s">
        <v>13</v>
      </c>
      <c r="F143" t="s">
        <v>19</v>
      </c>
      <c r="G143">
        <v>24525.439999999999</v>
      </c>
      <c r="H143">
        <v>12000</v>
      </c>
      <c r="I143">
        <v>12525.44</v>
      </c>
      <c r="J143">
        <v>51.071213999999998</v>
      </c>
    </row>
    <row r="144" spans="1:10" x14ac:dyDescent="0.3">
      <c r="A144" t="s">
        <v>280</v>
      </c>
      <c r="B144" t="s">
        <v>139</v>
      </c>
      <c r="C144" t="s">
        <v>17</v>
      </c>
      <c r="D144" s="1">
        <v>45559</v>
      </c>
      <c r="E144" t="s">
        <v>24</v>
      </c>
      <c r="F144" t="s">
        <v>14</v>
      </c>
      <c r="G144">
        <v>25956.16</v>
      </c>
      <c r="H144">
        <v>500</v>
      </c>
      <c r="I144">
        <v>25456.16</v>
      </c>
      <c r="J144">
        <v>98.073674999999994</v>
      </c>
    </row>
    <row r="145" spans="1:10" x14ac:dyDescent="0.3">
      <c r="A145" t="s">
        <v>281</v>
      </c>
      <c r="B145" t="s">
        <v>282</v>
      </c>
      <c r="C145" t="s">
        <v>17</v>
      </c>
      <c r="D145" s="1">
        <v>45362</v>
      </c>
      <c r="E145" t="s">
        <v>18</v>
      </c>
      <c r="F145" t="s">
        <v>14</v>
      </c>
      <c r="G145">
        <v>10152.51</v>
      </c>
      <c r="H145">
        <v>500</v>
      </c>
      <c r="I145">
        <v>9652.51</v>
      </c>
      <c r="J145">
        <v>95.075109999999995</v>
      </c>
    </row>
    <row r="146" spans="1:10" x14ac:dyDescent="0.3">
      <c r="A146" t="s">
        <v>283</v>
      </c>
      <c r="B146" t="s">
        <v>170</v>
      </c>
      <c r="C146" t="s">
        <v>64</v>
      </c>
      <c r="D146" s="1">
        <v>45490</v>
      </c>
      <c r="E146" t="s">
        <v>31</v>
      </c>
      <c r="F146" t="s">
        <v>14</v>
      </c>
      <c r="G146">
        <v>2104.5300000000002</v>
      </c>
      <c r="H146">
        <v>500</v>
      </c>
      <c r="I146">
        <v>1604.53</v>
      </c>
      <c r="J146">
        <v>76.241726</v>
      </c>
    </row>
    <row r="147" spans="1:10" x14ac:dyDescent="0.3">
      <c r="A147" t="s">
        <v>284</v>
      </c>
      <c r="B147" t="s">
        <v>285</v>
      </c>
      <c r="C147" t="s">
        <v>17</v>
      </c>
      <c r="D147" s="1">
        <v>45458</v>
      </c>
      <c r="E147" t="s">
        <v>41</v>
      </c>
      <c r="F147" t="s">
        <v>32</v>
      </c>
      <c r="G147">
        <v>21619.11</v>
      </c>
      <c r="H147">
        <v>30000</v>
      </c>
      <c r="I147">
        <v>-8380.89</v>
      </c>
      <c r="J147">
        <v>-38.766119000000003</v>
      </c>
    </row>
    <row r="148" spans="1:10" x14ac:dyDescent="0.3">
      <c r="A148" t="s">
        <v>286</v>
      </c>
      <c r="B148" t="s">
        <v>212</v>
      </c>
      <c r="C148" t="s">
        <v>12</v>
      </c>
      <c r="D148" s="1">
        <v>45540</v>
      </c>
      <c r="E148" t="s">
        <v>24</v>
      </c>
      <c r="F148" t="s">
        <v>28</v>
      </c>
      <c r="G148">
        <v>11289.24</v>
      </c>
      <c r="H148">
        <v>2000</v>
      </c>
      <c r="I148">
        <v>9289.24</v>
      </c>
      <c r="J148">
        <v>82.284015999999994</v>
      </c>
    </row>
    <row r="149" spans="1:10" x14ac:dyDescent="0.3">
      <c r="A149" t="s">
        <v>287</v>
      </c>
      <c r="B149" t="s">
        <v>288</v>
      </c>
      <c r="C149" t="s">
        <v>17</v>
      </c>
      <c r="D149" s="1">
        <v>45460</v>
      </c>
      <c r="E149" t="s">
        <v>41</v>
      </c>
      <c r="F149" t="s">
        <v>19</v>
      </c>
      <c r="G149">
        <v>32692.06</v>
      </c>
      <c r="H149">
        <v>12000</v>
      </c>
      <c r="I149">
        <v>20692.060000000001</v>
      </c>
      <c r="J149">
        <v>63.293840000000003</v>
      </c>
    </row>
    <row r="150" spans="1:10" x14ac:dyDescent="0.3">
      <c r="A150" t="s">
        <v>289</v>
      </c>
      <c r="B150" t="s">
        <v>90</v>
      </c>
      <c r="C150" t="s">
        <v>12</v>
      </c>
      <c r="D150" s="1">
        <v>45450</v>
      </c>
      <c r="E150" t="s">
        <v>41</v>
      </c>
      <c r="F150" t="s">
        <v>14</v>
      </c>
      <c r="G150">
        <v>12010.59</v>
      </c>
      <c r="H150">
        <v>500</v>
      </c>
      <c r="I150">
        <v>11510.59</v>
      </c>
      <c r="J150">
        <v>95.837007</v>
      </c>
    </row>
    <row r="151" spans="1:10" x14ac:dyDescent="0.3">
      <c r="A151" t="s">
        <v>290</v>
      </c>
      <c r="B151" t="s">
        <v>291</v>
      </c>
      <c r="C151" t="s">
        <v>12</v>
      </c>
      <c r="D151" s="1">
        <v>45656</v>
      </c>
      <c r="E151" t="s">
        <v>95</v>
      </c>
      <c r="F151" t="s">
        <v>28</v>
      </c>
      <c r="G151">
        <v>5957.81</v>
      </c>
      <c r="H151">
        <v>2000</v>
      </c>
      <c r="I151">
        <v>3957.81</v>
      </c>
      <c r="J151">
        <v>66.430617999999996</v>
      </c>
    </row>
    <row r="152" spans="1:10" x14ac:dyDescent="0.3">
      <c r="A152" t="s">
        <v>292</v>
      </c>
      <c r="B152" t="s">
        <v>90</v>
      </c>
      <c r="C152" t="s">
        <v>12</v>
      </c>
      <c r="D152" s="1">
        <v>45430</v>
      </c>
      <c r="E152" t="s">
        <v>37</v>
      </c>
      <c r="F152" t="s">
        <v>28</v>
      </c>
      <c r="G152">
        <v>3700.42</v>
      </c>
      <c r="H152">
        <v>2000</v>
      </c>
      <c r="I152">
        <v>1700.42</v>
      </c>
      <c r="J152">
        <v>45.952081</v>
      </c>
    </row>
    <row r="153" spans="1:10" x14ac:dyDescent="0.3">
      <c r="A153" t="s">
        <v>293</v>
      </c>
      <c r="B153" t="s">
        <v>191</v>
      </c>
      <c r="C153" t="s">
        <v>64</v>
      </c>
      <c r="D153" s="1">
        <v>45589</v>
      </c>
      <c r="E153" t="s">
        <v>13</v>
      </c>
      <c r="F153" t="s">
        <v>28</v>
      </c>
      <c r="G153">
        <v>44877.81</v>
      </c>
      <c r="H153">
        <v>2000</v>
      </c>
      <c r="I153">
        <v>42877.81</v>
      </c>
      <c r="J153">
        <v>95.543454999999994</v>
      </c>
    </row>
    <row r="154" spans="1:10" x14ac:dyDescent="0.3">
      <c r="A154" t="s">
        <v>294</v>
      </c>
      <c r="B154" t="s">
        <v>268</v>
      </c>
      <c r="C154" t="s">
        <v>17</v>
      </c>
      <c r="D154" s="1">
        <v>45417</v>
      </c>
      <c r="E154" t="s">
        <v>37</v>
      </c>
      <c r="F154" t="s">
        <v>32</v>
      </c>
      <c r="G154">
        <v>30068.91</v>
      </c>
      <c r="H154">
        <v>30000</v>
      </c>
      <c r="I154">
        <v>68.91</v>
      </c>
      <c r="J154">
        <v>0.22917399999999999</v>
      </c>
    </row>
    <row r="155" spans="1:10" x14ac:dyDescent="0.3">
      <c r="A155" t="s">
        <v>295</v>
      </c>
      <c r="B155" t="s">
        <v>115</v>
      </c>
      <c r="C155" t="s">
        <v>17</v>
      </c>
      <c r="D155" s="1">
        <v>45634</v>
      </c>
      <c r="E155" t="s">
        <v>95</v>
      </c>
      <c r="F155" t="s">
        <v>19</v>
      </c>
      <c r="G155">
        <v>30842.44</v>
      </c>
      <c r="H155">
        <v>12000</v>
      </c>
      <c r="I155">
        <v>18842.439999999999</v>
      </c>
      <c r="J155">
        <v>61.092571999999997</v>
      </c>
    </row>
    <row r="156" spans="1:10" x14ac:dyDescent="0.3">
      <c r="A156" t="s">
        <v>296</v>
      </c>
      <c r="B156" t="s">
        <v>297</v>
      </c>
      <c r="C156" t="s">
        <v>17</v>
      </c>
      <c r="D156" s="1">
        <v>45599</v>
      </c>
      <c r="E156" t="s">
        <v>57</v>
      </c>
      <c r="F156" t="s">
        <v>14</v>
      </c>
      <c r="G156">
        <v>20347.62</v>
      </c>
      <c r="H156">
        <v>500</v>
      </c>
      <c r="I156">
        <v>19847.62</v>
      </c>
      <c r="J156">
        <v>97.54271</v>
      </c>
    </row>
    <row r="157" spans="1:10" x14ac:dyDescent="0.3">
      <c r="A157" t="s">
        <v>298</v>
      </c>
      <c r="B157" t="s">
        <v>257</v>
      </c>
      <c r="C157" t="s">
        <v>12</v>
      </c>
      <c r="D157" s="1">
        <v>45547</v>
      </c>
      <c r="E157" t="s">
        <v>24</v>
      </c>
      <c r="F157" t="s">
        <v>28</v>
      </c>
      <c r="G157">
        <v>2529.88</v>
      </c>
      <c r="H157">
        <v>2000</v>
      </c>
      <c r="I157">
        <v>529.88</v>
      </c>
      <c r="J157">
        <v>20.944866999999999</v>
      </c>
    </row>
    <row r="158" spans="1:10" x14ac:dyDescent="0.3">
      <c r="A158" t="s">
        <v>299</v>
      </c>
      <c r="B158" t="s">
        <v>300</v>
      </c>
      <c r="C158" t="s">
        <v>40</v>
      </c>
      <c r="D158" s="1">
        <v>45431</v>
      </c>
      <c r="E158" t="s">
        <v>37</v>
      </c>
      <c r="F158" t="s">
        <v>28</v>
      </c>
      <c r="G158">
        <v>21600.720000000001</v>
      </c>
      <c r="H158">
        <v>2000</v>
      </c>
      <c r="I158">
        <v>19600.72</v>
      </c>
      <c r="J158">
        <v>90.741049000000004</v>
      </c>
    </row>
    <row r="159" spans="1:10" x14ac:dyDescent="0.3">
      <c r="A159" t="s">
        <v>301</v>
      </c>
      <c r="B159" t="s">
        <v>72</v>
      </c>
      <c r="C159" t="s">
        <v>64</v>
      </c>
      <c r="D159" s="1">
        <v>45344</v>
      </c>
      <c r="E159" t="s">
        <v>49</v>
      </c>
      <c r="F159" t="s">
        <v>32</v>
      </c>
      <c r="G159">
        <v>30801.18</v>
      </c>
      <c r="H159">
        <v>30000</v>
      </c>
      <c r="I159">
        <v>801.18</v>
      </c>
      <c r="J159">
        <v>2.6011340000000001</v>
      </c>
    </row>
    <row r="160" spans="1:10" x14ac:dyDescent="0.3">
      <c r="A160" t="s">
        <v>302</v>
      </c>
      <c r="B160" t="s">
        <v>174</v>
      </c>
      <c r="C160" t="s">
        <v>12</v>
      </c>
      <c r="D160" s="1">
        <v>45338</v>
      </c>
      <c r="E160" t="s">
        <v>49</v>
      </c>
      <c r="F160" t="s">
        <v>14</v>
      </c>
      <c r="G160">
        <v>17267.599999999999</v>
      </c>
      <c r="H160">
        <v>500</v>
      </c>
      <c r="I160">
        <v>16767.599999999999</v>
      </c>
      <c r="J160">
        <v>97.104404000000002</v>
      </c>
    </row>
    <row r="161" spans="1:10" x14ac:dyDescent="0.3">
      <c r="A161" t="s">
        <v>303</v>
      </c>
      <c r="B161" t="s">
        <v>304</v>
      </c>
      <c r="C161" t="s">
        <v>12</v>
      </c>
      <c r="D161" s="1">
        <v>45503</v>
      </c>
      <c r="E161" t="s">
        <v>31</v>
      </c>
      <c r="F161" t="s">
        <v>32</v>
      </c>
      <c r="G161">
        <v>19522.310000000001</v>
      </c>
      <c r="H161">
        <v>30000</v>
      </c>
      <c r="I161">
        <v>-10477.69</v>
      </c>
      <c r="J161">
        <v>-53.670338999999998</v>
      </c>
    </row>
    <row r="162" spans="1:10" x14ac:dyDescent="0.3">
      <c r="A162" t="s">
        <v>305</v>
      </c>
      <c r="B162" t="s">
        <v>306</v>
      </c>
      <c r="C162" t="s">
        <v>12</v>
      </c>
      <c r="D162" s="1">
        <v>45441</v>
      </c>
      <c r="E162" t="s">
        <v>37</v>
      </c>
      <c r="F162" t="s">
        <v>14</v>
      </c>
      <c r="G162">
        <v>33887.599999999999</v>
      </c>
      <c r="H162">
        <v>500</v>
      </c>
      <c r="I162">
        <v>33387.599999999999</v>
      </c>
      <c r="J162">
        <v>98.524534000000003</v>
      </c>
    </row>
    <row r="163" spans="1:10" x14ac:dyDescent="0.3">
      <c r="A163" t="s">
        <v>307</v>
      </c>
      <c r="B163" t="s">
        <v>113</v>
      </c>
      <c r="C163" t="s">
        <v>17</v>
      </c>
      <c r="D163" s="1">
        <v>45601</v>
      </c>
      <c r="E163" t="s">
        <v>57</v>
      </c>
      <c r="F163" t="s">
        <v>32</v>
      </c>
      <c r="G163">
        <v>24788.959999999999</v>
      </c>
      <c r="H163">
        <v>30000</v>
      </c>
      <c r="I163">
        <v>-5211.04</v>
      </c>
      <c r="J163">
        <v>-21.021616000000002</v>
      </c>
    </row>
    <row r="164" spans="1:10" x14ac:dyDescent="0.3">
      <c r="A164" t="s">
        <v>308</v>
      </c>
      <c r="B164" t="s">
        <v>309</v>
      </c>
      <c r="C164" t="s">
        <v>17</v>
      </c>
      <c r="D164" s="1">
        <v>45494</v>
      </c>
      <c r="E164" t="s">
        <v>31</v>
      </c>
      <c r="F164" t="s">
        <v>14</v>
      </c>
      <c r="G164">
        <v>13536.39</v>
      </c>
      <c r="H164">
        <v>500</v>
      </c>
      <c r="I164">
        <v>13036.39</v>
      </c>
      <c r="J164">
        <v>96.306252999999998</v>
      </c>
    </row>
    <row r="165" spans="1:10" x14ac:dyDescent="0.3">
      <c r="A165" t="s">
        <v>310</v>
      </c>
      <c r="B165" t="s">
        <v>311</v>
      </c>
      <c r="C165" t="s">
        <v>64</v>
      </c>
      <c r="D165" s="1">
        <v>45554</v>
      </c>
      <c r="E165" t="s">
        <v>24</v>
      </c>
      <c r="F165" t="s">
        <v>28</v>
      </c>
      <c r="G165">
        <v>26960.98</v>
      </c>
      <c r="H165">
        <v>2000</v>
      </c>
      <c r="I165">
        <v>24960.98</v>
      </c>
      <c r="J165">
        <v>92.581872000000004</v>
      </c>
    </row>
    <row r="166" spans="1:10" x14ac:dyDescent="0.3">
      <c r="A166" t="s">
        <v>312</v>
      </c>
      <c r="B166" t="s">
        <v>132</v>
      </c>
      <c r="C166" t="s">
        <v>64</v>
      </c>
      <c r="D166" s="1">
        <v>45525</v>
      </c>
      <c r="E166" t="s">
        <v>47</v>
      </c>
      <c r="F166" t="s">
        <v>19</v>
      </c>
      <c r="G166">
        <v>12609.1</v>
      </c>
      <c r="H166">
        <v>12000</v>
      </c>
      <c r="I166">
        <v>609.1</v>
      </c>
      <c r="J166">
        <v>4.8306380000000004</v>
      </c>
    </row>
    <row r="167" spans="1:10" x14ac:dyDescent="0.3">
      <c r="A167" t="s">
        <v>313</v>
      </c>
      <c r="B167" t="s">
        <v>152</v>
      </c>
      <c r="C167" t="s">
        <v>17</v>
      </c>
      <c r="D167" s="1">
        <v>45461</v>
      </c>
      <c r="E167" t="s">
        <v>41</v>
      </c>
      <c r="F167" t="s">
        <v>14</v>
      </c>
      <c r="G167">
        <v>31405.040000000001</v>
      </c>
      <c r="H167">
        <v>500</v>
      </c>
      <c r="I167">
        <v>30905.040000000001</v>
      </c>
      <c r="J167">
        <v>98.407899</v>
      </c>
    </row>
    <row r="168" spans="1:10" x14ac:dyDescent="0.3">
      <c r="A168" t="s">
        <v>314</v>
      </c>
      <c r="B168" t="s">
        <v>26</v>
      </c>
      <c r="C168" t="s">
        <v>12</v>
      </c>
      <c r="D168" s="1">
        <v>45560</v>
      </c>
      <c r="E168" t="s">
        <v>24</v>
      </c>
      <c r="F168" t="s">
        <v>32</v>
      </c>
      <c r="G168">
        <v>42918.84</v>
      </c>
      <c r="H168">
        <v>30000</v>
      </c>
      <c r="I168">
        <v>12918.84</v>
      </c>
      <c r="J168">
        <v>30.100626999999999</v>
      </c>
    </row>
    <row r="169" spans="1:10" x14ac:dyDescent="0.3">
      <c r="A169" t="s">
        <v>315</v>
      </c>
      <c r="B169" t="s">
        <v>316</v>
      </c>
      <c r="C169" t="s">
        <v>12</v>
      </c>
      <c r="D169" s="1">
        <v>45599</v>
      </c>
      <c r="E169" t="s">
        <v>57</v>
      </c>
      <c r="F169" t="s">
        <v>28</v>
      </c>
      <c r="G169">
        <v>8363.85</v>
      </c>
      <c r="H169">
        <v>2000</v>
      </c>
      <c r="I169">
        <v>6363.85</v>
      </c>
      <c r="J169">
        <v>76.087567000000007</v>
      </c>
    </row>
    <row r="170" spans="1:10" x14ac:dyDescent="0.3">
      <c r="A170" t="s">
        <v>317</v>
      </c>
      <c r="B170" t="s">
        <v>145</v>
      </c>
      <c r="C170" t="s">
        <v>40</v>
      </c>
      <c r="D170" s="1">
        <v>45387</v>
      </c>
      <c r="E170" t="s">
        <v>27</v>
      </c>
      <c r="F170" t="s">
        <v>32</v>
      </c>
      <c r="G170">
        <v>41897.730000000003</v>
      </c>
      <c r="H170">
        <v>30000</v>
      </c>
      <c r="I170">
        <v>11897.73</v>
      </c>
      <c r="J170">
        <v>28.397075000000001</v>
      </c>
    </row>
    <row r="171" spans="1:10" x14ac:dyDescent="0.3">
      <c r="A171" t="s">
        <v>318</v>
      </c>
      <c r="B171" t="s">
        <v>172</v>
      </c>
      <c r="C171" t="s">
        <v>40</v>
      </c>
      <c r="D171" s="1">
        <v>45483</v>
      </c>
      <c r="E171" t="s">
        <v>31</v>
      </c>
      <c r="F171" t="s">
        <v>28</v>
      </c>
      <c r="G171">
        <v>1233.44</v>
      </c>
      <c r="H171">
        <v>2000</v>
      </c>
      <c r="I171">
        <v>-766.56</v>
      </c>
      <c r="J171">
        <v>-62.148139</v>
      </c>
    </row>
    <row r="172" spans="1:10" x14ac:dyDescent="0.3">
      <c r="A172" t="s">
        <v>319</v>
      </c>
      <c r="B172" t="s">
        <v>72</v>
      </c>
      <c r="C172" t="s">
        <v>64</v>
      </c>
      <c r="D172" s="1">
        <v>45390</v>
      </c>
      <c r="E172" t="s">
        <v>27</v>
      </c>
      <c r="F172" t="s">
        <v>28</v>
      </c>
      <c r="G172">
        <v>22674.29</v>
      </c>
      <c r="H172">
        <v>2000</v>
      </c>
      <c r="I172">
        <v>20674.29</v>
      </c>
      <c r="J172">
        <v>91.179436999999993</v>
      </c>
    </row>
    <row r="173" spans="1:10" x14ac:dyDescent="0.3">
      <c r="A173" t="s">
        <v>320</v>
      </c>
      <c r="B173" t="s">
        <v>321</v>
      </c>
      <c r="C173" t="s">
        <v>64</v>
      </c>
      <c r="D173" s="1">
        <v>45348</v>
      </c>
      <c r="E173" t="s">
        <v>49</v>
      </c>
      <c r="F173" t="s">
        <v>14</v>
      </c>
      <c r="G173">
        <v>29352.25</v>
      </c>
      <c r="H173">
        <v>500</v>
      </c>
      <c r="I173">
        <v>28852.25</v>
      </c>
      <c r="J173">
        <v>98.296553000000003</v>
      </c>
    </row>
    <row r="174" spans="1:10" x14ac:dyDescent="0.3">
      <c r="A174" t="s">
        <v>322</v>
      </c>
      <c r="B174" t="s">
        <v>72</v>
      </c>
      <c r="C174" t="s">
        <v>64</v>
      </c>
      <c r="D174" s="1">
        <v>45455</v>
      </c>
      <c r="E174" t="s">
        <v>41</v>
      </c>
      <c r="F174" t="s">
        <v>28</v>
      </c>
      <c r="G174">
        <v>19213.77</v>
      </c>
      <c r="H174">
        <v>2000</v>
      </c>
      <c r="I174">
        <v>17213.77</v>
      </c>
      <c r="J174">
        <v>89.590799000000004</v>
      </c>
    </row>
    <row r="175" spans="1:10" x14ac:dyDescent="0.3">
      <c r="A175" t="s">
        <v>323</v>
      </c>
      <c r="B175" t="s">
        <v>88</v>
      </c>
      <c r="C175" t="s">
        <v>17</v>
      </c>
      <c r="D175" s="1">
        <v>45541</v>
      </c>
      <c r="E175" t="s">
        <v>24</v>
      </c>
      <c r="F175" t="s">
        <v>32</v>
      </c>
      <c r="G175">
        <v>42216.59</v>
      </c>
      <c r="H175">
        <v>30000</v>
      </c>
      <c r="I175">
        <v>12216.59</v>
      </c>
      <c r="J175">
        <v>28.937888999999998</v>
      </c>
    </row>
    <row r="176" spans="1:10" x14ac:dyDescent="0.3">
      <c r="A176" t="s">
        <v>324</v>
      </c>
      <c r="B176" t="s">
        <v>270</v>
      </c>
      <c r="C176" t="s">
        <v>17</v>
      </c>
      <c r="D176" s="1">
        <v>45492</v>
      </c>
      <c r="E176" t="s">
        <v>31</v>
      </c>
      <c r="F176" t="s">
        <v>28</v>
      </c>
      <c r="G176">
        <v>35020.15</v>
      </c>
      <c r="H176">
        <v>2000</v>
      </c>
      <c r="I176">
        <v>33020.15</v>
      </c>
      <c r="J176">
        <v>94.289001999999996</v>
      </c>
    </row>
    <row r="177" spans="1:10" x14ac:dyDescent="0.3">
      <c r="A177" t="s">
        <v>325</v>
      </c>
      <c r="B177" t="s">
        <v>326</v>
      </c>
      <c r="C177" t="s">
        <v>40</v>
      </c>
      <c r="D177" s="1">
        <v>45477</v>
      </c>
      <c r="E177" t="s">
        <v>31</v>
      </c>
      <c r="F177" t="s">
        <v>32</v>
      </c>
      <c r="G177">
        <v>30585.41</v>
      </c>
      <c r="H177">
        <v>30000</v>
      </c>
      <c r="I177">
        <v>585.41</v>
      </c>
      <c r="J177">
        <v>1.9140170000000001</v>
      </c>
    </row>
    <row r="178" spans="1:10" x14ac:dyDescent="0.3">
      <c r="A178" t="s">
        <v>327</v>
      </c>
      <c r="B178" t="s">
        <v>328</v>
      </c>
      <c r="C178" t="s">
        <v>40</v>
      </c>
      <c r="D178" s="1">
        <v>45487</v>
      </c>
      <c r="E178" t="s">
        <v>31</v>
      </c>
      <c r="F178" t="s">
        <v>32</v>
      </c>
      <c r="G178">
        <v>38081.42</v>
      </c>
      <c r="H178">
        <v>30000</v>
      </c>
      <c r="I178">
        <v>8081.42</v>
      </c>
      <c r="J178">
        <v>21.221425</v>
      </c>
    </row>
    <row r="179" spans="1:10" x14ac:dyDescent="0.3">
      <c r="A179" t="s">
        <v>329</v>
      </c>
      <c r="B179" t="s">
        <v>300</v>
      </c>
      <c r="C179" t="s">
        <v>40</v>
      </c>
      <c r="D179" s="1">
        <v>45548</v>
      </c>
      <c r="E179" t="s">
        <v>24</v>
      </c>
      <c r="F179" t="s">
        <v>32</v>
      </c>
      <c r="G179">
        <v>22335.41</v>
      </c>
      <c r="H179">
        <v>30000</v>
      </c>
      <c r="I179">
        <v>-7664.59</v>
      </c>
      <c r="J179">
        <v>-34.315868999999999</v>
      </c>
    </row>
    <row r="180" spans="1:10" x14ac:dyDescent="0.3">
      <c r="A180" t="s">
        <v>330</v>
      </c>
      <c r="B180" t="s">
        <v>331</v>
      </c>
      <c r="C180" t="s">
        <v>12</v>
      </c>
      <c r="D180" s="1">
        <v>45411</v>
      </c>
      <c r="E180" t="s">
        <v>27</v>
      </c>
      <c r="F180" t="s">
        <v>28</v>
      </c>
      <c r="G180">
        <v>25447.57</v>
      </c>
      <c r="H180">
        <v>2000</v>
      </c>
      <c r="I180">
        <v>23447.57</v>
      </c>
      <c r="J180">
        <v>92.140703000000002</v>
      </c>
    </row>
    <row r="181" spans="1:10" x14ac:dyDescent="0.3">
      <c r="A181" t="s">
        <v>332</v>
      </c>
      <c r="B181" t="s">
        <v>268</v>
      </c>
      <c r="C181" t="s">
        <v>17</v>
      </c>
      <c r="D181" s="1">
        <v>45455</v>
      </c>
      <c r="E181" t="s">
        <v>41</v>
      </c>
      <c r="F181" t="s">
        <v>28</v>
      </c>
      <c r="G181">
        <v>42165.94</v>
      </c>
      <c r="H181">
        <v>2000</v>
      </c>
      <c r="I181">
        <v>40165.94</v>
      </c>
      <c r="J181">
        <v>95.256834999999995</v>
      </c>
    </row>
    <row r="182" spans="1:10" x14ac:dyDescent="0.3">
      <c r="A182" t="s">
        <v>333</v>
      </c>
      <c r="B182" t="s">
        <v>334</v>
      </c>
      <c r="C182" t="s">
        <v>17</v>
      </c>
      <c r="D182" s="1">
        <v>45393</v>
      </c>
      <c r="E182" t="s">
        <v>27</v>
      </c>
      <c r="F182" t="s">
        <v>14</v>
      </c>
      <c r="G182">
        <v>45503.44</v>
      </c>
      <c r="H182">
        <v>500</v>
      </c>
      <c r="I182">
        <v>45003.44</v>
      </c>
      <c r="J182">
        <v>98.901182000000006</v>
      </c>
    </row>
    <row r="183" spans="1:10" x14ac:dyDescent="0.3">
      <c r="A183" t="s">
        <v>335</v>
      </c>
      <c r="B183" t="s">
        <v>336</v>
      </c>
      <c r="C183" t="s">
        <v>12</v>
      </c>
      <c r="D183" s="1">
        <v>45312</v>
      </c>
      <c r="E183" t="s">
        <v>44</v>
      </c>
      <c r="F183" t="s">
        <v>19</v>
      </c>
      <c r="G183">
        <v>5755.48</v>
      </c>
      <c r="H183">
        <v>12000</v>
      </c>
      <c r="I183">
        <v>-6244.52</v>
      </c>
      <c r="J183">
        <v>-108.49694599999999</v>
      </c>
    </row>
    <row r="184" spans="1:10" x14ac:dyDescent="0.3">
      <c r="A184" t="s">
        <v>337</v>
      </c>
      <c r="B184" t="s">
        <v>316</v>
      </c>
      <c r="C184" t="s">
        <v>12</v>
      </c>
      <c r="D184" s="1">
        <v>45652</v>
      </c>
      <c r="E184" t="s">
        <v>95</v>
      </c>
      <c r="F184" t="s">
        <v>19</v>
      </c>
      <c r="G184">
        <v>16495.759999999998</v>
      </c>
      <c r="H184">
        <v>12000</v>
      </c>
      <c r="I184">
        <v>4495.76</v>
      </c>
      <c r="J184">
        <v>27.254034000000001</v>
      </c>
    </row>
    <row r="185" spans="1:10" x14ac:dyDescent="0.3">
      <c r="A185" t="s">
        <v>338</v>
      </c>
      <c r="B185" t="s">
        <v>339</v>
      </c>
      <c r="C185" t="s">
        <v>12</v>
      </c>
      <c r="D185" s="1">
        <v>45376</v>
      </c>
      <c r="E185" t="s">
        <v>18</v>
      </c>
      <c r="F185" t="s">
        <v>28</v>
      </c>
      <c r="G185">
        <v>17168.14</v>
      </c>
      <c r="H185">
        <v>2000</v>
      </c>
      <c r="I185">
        <v>15168.14</v>
      </c>
      <c r="J185">
        <v>88.350514000000004</v>
      </c>
    </row>
    <row r="186" spans="1:10" x14ac:dyDescent="0.3">
      <c r="A186" t="s">
        <v>340</v>
      </c>
      <c r="B186" t="s">
        <v>193</v>
      </c>
      <c r="C186" t="s">
        <v>17</v>
      </c>
      <c r="D186" s="1">
        <v>45553</v>
      </c>
      <c r="E186" t="s">
        <v>24</v>
      </c>
      <c r="F186" t="s">
        <v>14</v>
      </c>
      <c r="G186">
        <v>49034.86</v>
      </c>
      <c r="H186">
        <v>500</v>
      </c>
      <c r="I186">
        <v>48534.86</v>
      </c>
      <c r="J186">
        <v>98.980316999999999</v>
      </c>
    </row>
    <row r="187" spans="1:10" x14ac:dyDescent="0.3">
      <c r="A187" t="s">
        <v>341</v>
      </c>
      <c r="B187" t="s">
        <v>321</v>
      </c>
      <c r="C187" t="s">
        <v>64</v>
      </c>
      <c r="D187" s="1">
        <v>45583</v>
      </c>
      <c r="E187" t="s">
        <v>13</v>
      </c>
      <c r="F187" t="s">
        <v>32</v>
      </c>
      <c r="G187">
        <v>39066.39</v>
      </c>
      <c r="H187">
        <v>30000</v>
      </c>
      <c r="I187">
        <v>9066.39</v>
      </c>
      <c r="J187">
        <v>23.207647000000001</v>
      </c>
    </row>
    <row r="188" spans="1:10" x14ac:dyDescent="0.3">
      <c r="A188" t="s">
        <v>342</v>
      </c>
      <c r="B188" t="s">
        <v>291</v>
      </c>
      <c r="C188" t="s">
        <v>12</v>
      </c>
      <c r="D188" s="1">
        <v>45303</v>
      </c>
      <c r="E188" t="s">
        <v>44</v>
      </c>
      <c r="F188" t="s">
        <v>14</v>
      </c>
      <c r="G188">
        <v>41960.81</v>
      </c>
      <c r="H188">
        <v>500</v>
      </c>
      <c r="I188">
        <v>41460.81</v>
      </c>
      <c r="J188">
        <v>98.808412000000004</v>
      </c>
    </row>
    <row r="189" spans="1:10" x14ac:dyDescent="0.3">
      <c r="A189" t="s">
        <v>343</v>
      </c>
      <c r="B189" t="s">
        <v>344</v>
      </c>
      <c r="C189" t="s">
        <v>12</v>
      </c>
      <c r="D189" s="1">
        <v>45633</v>
      </c>
      <c r="E189" t="s">
        <v>95</v>
      </c>
      <c r="F189" t="s">
        <v>19</v>
      </c>
      <c r="G189">
        <v>33563.199999999997</v>
      </c>
      <c r="H189">
        <v>12000</v>
      </c>
      <c r="I189">
        <v>21563.200000000001</v>
      </c>
      <c r="J189">
        <v>64.246555999999998</v>
      </c>
    </row>
    <row r="190" spans="1:10" x14ac:dyDescent="0.3">
      <c r="A190" t="s">
        <v>345</v>
      </c>
      <c r="B190" t="s">
        <v>68</v>
      </c>
      <c r="C190" t="s">
        <v>40</v>
      </c>
      <c r="D190" s="1">
        <v>45459</v>
      </c>
      <c r="E190" t="s">
        <v>41</v>
      </c>
      <c r="F190" t="s">
        <v>14</v>
      </c>
      <c r="G190">
        <v>43747.65</v>
      </c>
      <c r="H190">
        <v>500</v>
      </c>
      <c r="I190">
        <v>43247.65</v>
      </c>
      <c r="J190">
        <v>98.857080999999994</v>
      </c>
    </row>
    <row r="191" spans="1:10" x14ac:dyDescent="0.3">
      <c r="A191" t="s">
        <v>346</v>
      </c>
      <c r="B191" t="s">
        <v>150</v>
      </c>
      <c r="C191" t="s">
        <v>64</v>
      </c>
      <c r="D191" s="1">
        <v>45371</v>
      </c>
      <c r="E191" t="s">
        <v>18</v>
      </c>
      <c r="F191" t="s">
        <v>32</v>
      </c>
      <c r="G191">
        <v>6429.46</v>
      </c>
      <c r="H191">
        <v>30000</v>
      </c>
      <c r="I191">
        <v>-23570.54</v>
      </c>
      <c r="J191">
        <v>-366.602172</v>
      </c>
    </row>
    <row r="192" spans="1:10" x14ac:dyDescent="0.3">
      <c r="A192" t="s">
        <v>347</v>
      </c>
      <c r="B192" t="s">
        <v>99</v>
      </c>
      <c r="C192" t="s">
        <v>17</v>
      </c>
      <c r="D192" s="1">
        <v>45309</v>
      </c>
      <c r="E192" t="s">
        <v>44</v>
      </c>
      <c r="F192" t="s">
        <v>19</v>
      </c>
      <c r="G192">
        <v>37279.65</v>
      </c>
      <c r="H192">
        <v>12000</v>
      </c>
      <c r="I192">
        <v>25279.65</v>
      </c>
      <c r="J192">
        <v>67.810856999999999</v>
      </c>
    </row>
    <row r="193" spans="1:10" x14ac:dyDescent="0.3">
      <c r="A193" t="s">
        <v>348</v>
      </c>
      <c r="B193" t="s">
        <v>349</v>
      </c>
      <c r="C193" t="s">
        <v>12</v>
      </c>
      <c r="D193" s="1">
        <v>45333</v>
      </c>
      <c r="E193" t="s">
        <v>49</v>
      </c>
      <c r="F193" t="s">
        <v>14</v>
      </c>
      <c r="G193">
        <v>9631.31</v>
      </c>
      <c r="H193">
        <v>500</v>
      </c>
      <c r="I193">
        <v>9131.31</v>
      </c>
      <c r="J193">
        <v>94.808598000000003</v>
      </c>
    </row>
    <row r="194" spans="1:10" x14ac:dyDescent="0.3">
      <c r="A194" t="s">
        <v>350</v>
      </c>
      <c r="B194" t="s">
        <v>351</v>
      </c>
      <c r="C194" t="s">
        <v>40</v>
      </c>
      <c r="D194" s="1">
        <v>45530</v>
      </c>
      <c r="E194" t="s">
        <v>47</v>
      </c>
      <c r="F194" t="s">
        <v>14</v>
      </c>
      <c r="G194">
        <v>31727.75</v>
      </c>
      <c r="H194">
        <v>500</v>
      </c>
      <c r="I194">
        <v>31227.75</v>
      </c>
      <c r="J194">
        <v>98.424092000000002</v>
      </c>
    </row>
    <row r="195" spans="1:10" x14ac:dyDescent="0.3">
      <c r="A195" t="s">
        <v>352</v>
      </c>
      <c r="B195" t="s">
        <v>331</v>
      </c>
      <c r="C195" t="s">
        <v>12</v>
      </c>
      <c r="D195" s="1">
        <v>45583</v>
      </c>
      <c r="E195" t="s">
        <v>13</v>
      </c>
      <c r="F195" t="s">
        <v>32</v>
      </c>
      <c r="G195">
        <v>42526.47</v>
      </c>
      <c r="H195">
        <v>30000</v>
      </c>
      <c r="I195">
        <v>12526.47</v>
      </c>
      <c r="J195">
        <v>29.455701000000001</v>
      </c>
    </row>
    <row r="196" spans="1:10" x14ac:dyDescent="0.3">
      <c r="A196" t="s">
        <v>353</v>
      </c>
      <c r="B196" t="s">
        <v>354</v>
      </c>
      <c r="C196" t="s">
        <v>17</v>
      </c>
      <c r="D196" s="1">
        <v>45552</v>
      </c>
      <c r="E196" t="s">
        <v>24</v>
      </c>
      <c r="F196" t="s">
        <v>32</v>
      </c>
      <c r="G196">
        <v>1207.8</v>
      </c>
      <c r="H196">
        <v>30000</v>
      </c>
      <c r="I196">
        <v>-28792.2</v>
      </c>
      <c r="J196">
        <v>-2383.8549429999998</v>
      </c>
    </row>
    <row r="197" spans="1:10" x14ac:dyDescent="0.3">
      <c r="A197" t="s">
        <v>355</v>
      </c>
      <c r="B197" t="s">
        <v>356</v>
      </c>
      <c r="C197" t="s">
        <v>40</v>
      </c>
      <c r="D197" s="1">
        <v>45331</v>
      </c>
      <c r="E197" t="s">
        <v>49</v>
      </c>
      <c r="F197" t="s">
        <v>14</v>
      </c>
      <c r="G197">
        <v>32072.89</v>
      </c>
      <c r="H197">
        <v>500</v>
      </c>
      <c r="I197">
        <v>31572.89</v>
      </c>
      <c r="J197">
        <v>98.441051000000002</v>
      </c>
    </row>
    <row r="198" spans="1:10" x14ac:dyDescent="0.3">
      <c r="A198" t="s">
        <v>357</v>
      </c>
      <c r="B198" t="s">
        <v>163</v>
      </c>
      <c r="C198" t="s">
        <v>40</v>
      </c>
      <c r="D198" s="1">
        <v>45515</v>
      </c>
      <c r="E198" t="s">
        <v>47</v>
      </c>
      <c r="F198" t="s">
        <v>14</v>
      </c>
      <c r="G198">
        <v>48524.57</v>
      </c>
      <c r="H198">
        <v>500</v>
      </c>
      <c r="I198">
        <v>48024.57</v>
      </c>
      <c r="J198">
        <v>98.969594000000001</v>
      </c>
    </row>
    <row r="199" spans="1:10" x14ac:dyDescent="0.3">
      <c r="A199" t="s">
        <v>358</v>
      </c>
      <c r="B199" t="s">
        <v>208</v>
      </c>
      <c r="C199" t="s">
        <v>12</v>
      </c>
      <c r="D199" s="1">
        <v>45630</v>
      </c>
      <c r="E199" t="s">
        <v>95</v>
      </c>
      <c r="F199" t="s">
        <v>19</v>
      </c>
      <c r="G199">
        <v>14525.13</v>
      </c>
      <c r="H199">
        <v>12000</v>
      </c>
      <c r="I199">
        <v>2525.13</v>
      </c>
      <c r="J199">
        <v>17.38456</v>
      </c>
    </row>
    <row r="200" spans="1:10" x14ac:dyDescent="0.3">
      <c r="A200" t="s">
        <v>359</v>
      </c>
      <c r="B200" t="s">
        <v>360</v>
      </c>
      <c r="C200" t="s">
        <v>64</v>
      </c>
      <c r="D200" s="1">
        <v>45461</v>
      </c>
      <c r="E200" t="s">
        <v>41</v>
      </c>
      <c r="F200" t="s">
        <v>19</v>
      </c>
      <c r="G200">
        <v>17602.349999999999</v>
      </c>
      <c r="H200">
        <v>12000</v>
      </c>
      <c r="I200">
        <v>5602.35</v>
      </c>
      <c r="J200">
        <v>31.827283999999999</v>
      </c>
    </row>
    <row r="201" spans="1:10" x14ac:dyDescent="0.3">
      <c r="A201" t="s">
        <v>361</v>
      </c>
      <c r="B201" t="s">
        <v>103</v>
      </c>
      <c r="C201" t="s">
        <v>12</v>
      </c>
      <c r="D201" s="1">
        <v>45491</v>
      </c>
      <c r="E201" t="s">
        <v>31</v>
      </c>
      <c r="F201" t="s">
        <v>14</v>
      </c>
      <c r="G201">
        <v>18362.669999999998</v>
      </c>
      <c r="H201">
        <v>500</v>
      </c>
      <c r="I201">
        <v>17862.669999999998</v>
      </c>
      <c r="J201">
        <v>97.277084000000002</v>
      </c>
    </row>
    <row r="202" spans="1:10" x14ac:dyDescent="0.3">
      <c r="A202" t="s">
        <v>362</v>
      </c>
      <c r="B202" t="s">
        <v>363</v>
      </c>
      <c r="C202" t="s">
        <v>40</v>
      </c>
      <c r="D202" s="1">
        <v>45375</v>
      </c>
      <c r="E202" t="s">
        <v>18</v>
      </c>
      <c r="F202" t="s">
        <v>28</v>
      </c>
      <c r="G202">
        <v>42068.54</v>
      </c>
      <c r="H202">
        <v>2000</v>
      </c>
      <c r="I202">
        <v>40068.54</v>
      </c>
      <c r="J202">
        <v>95.245853999999994</v>
      </c>
    </row>
    <row r="203" spans="1:10" x14ac:dyDescent="0.3">
      <c r="A203" t="s">
        <v>364</v>
      </c>
      <c r="B203" t="s">
        <v>208</v>
      </c>
      <c r="C203" t="s">
        <v>12</v>
      </c>
      <c r="D203" s="1">
        <v>45566</v>
      </c>
      <c r="E203" t="s">
        <v>13</v>
      </c>
      <c r="F203" t="s">
        <v>28</v>
      </c>
      <c r="G203">
        <v>23467.47</v>
      </c>
      <c r="H203">
        <v>2000</v>
      </c>
      <c r="I203">
        <v>21467.47</v>
      </c>
      <c r="J203">
        <v>91.477564000000001</v>
      </c>
    </row>
    <row r="204" spans="1:10" x14ac:dyDescent="0.3">
      <c r="A204" t="s">
        <v>365</v>
      </c>
      <c r="B204" t="s">
        <v>148</v>
      </c>
      <c r="C204" t="s">
        <v>17</v>
      </c>
      <c r="D204" s="1">
        <v>45590</v>
      </c>
      <c r="E204" t="s">
        <v>13</v>
      </c>
      <c r="F204" t="s">
        <v>32</v>
      </c>
      <c r="G204">
        <v>26367.33</v>
      </c>
      <c r="H204">
        <v>30000</v>
      </c>
      <c r="I204">
        <v>-3632.67</v>
      </c>
      <c r="J204">
        <v>-13.777163</v>
      </c>
    </row>
    <row r="205" spans="1:10" x14ac:dyDescent="0.3">
      <c r="A205" t="s">
        <v>366</v>
      </c>
      <c r="B205" t="s">
        <v>367</v>
      </c>
      <c r="C205" t="s">
        <v>40</v>
      </c>
      <c r="D205" s="1">
        <v>45416</v>
      </c>
      <c r="E205" t="s">
        <v>37</v>
      </c>
      <c r="F205" t="s">
        <v>19</v>
      </c>
      <c r="G205">
        <v>23713.67</v>
      </c>
      <c r="H205">
        <v>12000</v>
      </c>
      <c r="I205">
        <v>11713.67</v>
      </c>
      <c r="J205">
        <v>49.396276</v>
      </c>
    </row>
    <row r="206" spans="1:10" x14ac:dyDescent="0.3">
      <c r="A206" t="s">
        <v>368</v>
      </c>
      <c r="B206" t="s">
        <v>208</v>
      </c>
      <c r="C206" t="s">
        <v>12</v>
      </c>
      <c r="D206" s="1">
        <v>45444</v>
      </c>
      <c r="E206" t="s">
        <v>41</v>
      </c>
      <c r="F206" t="s">
        <v>14</v>
      </c>
      <c r="G206">
        <v>4904.83</v>
      </c>
      <c r="H206">
        <v>500</v>
      </c>
      <c r="I206">
        <v>4404.83</v>
      </c>
      <c r="J206">
        <v>89.805966999999995</v>
      </c>
    </row>
    <row r="207" spans="1:10" x14ac:dyDescent="0.3">
      <c r="A207" t="s">
        <v>369</v>
      </c>
      <c r="B207" t="s">
        <v>212</v>
      </c>
      <c r="C207" t="s">
        <v>12</v>
      </c>
      <c r="D207" s="1">
        <v>45323</v>
      </c>
      <c r="E207" t="s">
        <v>49</v>
      </c>
      <c r="F207" t="s">
        <v>28</v>
      </c>
      <c r="G207">
        <v>6697.86</v>
      </c>
      <c r="H207">
        <v>2000</v>
      </c>
      <c r="I207">
        <v>4697.8599999999997</v>
      </c>
      <c r="J207">
        <v>70.139716000000007</v>
      </c>
    </row>
    <row r="208" spans="1:10" x14ac:dyDescent="0.3">
      <c r="A208" t="s">
        <v>370</v>
      </c>
      <c r="B208" t="s">
        <v>78</v>
      </c>
      <c r="C208" t="s">
        <v>40</v>
      </c>
      <c r="D208" s="1">
        <v>45325</v>
      </c>
      <c r="E208" t="s">
        <v>49</v>
      </c>
      <c r="F208" t="s">
        <v>28</v>
      </c>
      <c r="G208">
        <v>21971.74</v>
      </c>
      <c r="H208">
        <v>2000</v>
      </c>
      <c r="I208">
        <v>19971.740000000002</v>
      </c>
      <c r="J208">
        <v>90.897397999999995</v>
      </c>
    </row>
    <row r="209" spans="1:10" x14ac:dyDescent="0.3">
      <c r="A209" t="s">
        <v>371</v>
      </c>
      <c r="B209" t="s">
        <v>82</v>
      </c>
      <c r="C209" t="s">
        <v>17</v>
      </c>
      <c r="D209" s="1">
        <v>45630</v>
      </c>
      <c r="E209" t="s">
        <v>95</v>
      </c>
      <c r="F209" t="s">
        <v>28</v>
      </c>
      <c r="G209">
        <v>15239.27</v>
      </c>
      <c r="H209">
        <v>2000</v>
      </c>
      <c r="I209">
        <v>13239.27</v>
      </c>
      <c r="J209">
        <v>86.876012000000003</v>
      </c>
    </row>
    <row r="210" spans="1:10" x14ac:dyDescent="0.3">
      <c r="A210" t="s">
        <v>372</v>
      </c>
      <c r="B210" t="s">
        <v>193</v>
      </c>
      <c r="C210" t="s">
        <v>17</v>
      </c>
      <c r="D210" s="1">
        <v>45428</v>
      </c>
      <c r="E210" t="s">
        <v>37</v>
      </c>
      <c r="F210" t="s">
        <v>32</v>
      </c>
      <c r="G210">
        <v>23286.799999999999</v>
      </c>
      <c r="H210">
        <v>30000</v>
      </c>
      <c r="I210">
        <v>-6713.2</v>
      </c>
      <c r="J210">
        <v>-28.828348999999999</v>
      </c>
    </row>
    <row r="211" spans="1:10" x14ac:dyDescent="0.3">
      <c r="A211" t="s">
        <v>373</v>
      </c>
      <c r="B211" t="s">
        <v>374</v>
      </c>
      <c r="C211" t="s">
        <v>64</v>
      </c>
      <c r="D211" s="1">
        <v>45541</v>
      </c>
      <c r="E211" t="s">
        <v>24</v>
      </c>
      <c r="F211" t="s">
        <v>28</v>
      </c>
      <c r="G211">
        <v>29385.68</v>
      </c>
      <c r="H211">
        <v>2000</v>
      </c>
      <c r="I211">
        <v>27385.68</v>
      </c>
      <c r="J211">
        <v>93.193963999999994</v>
      </c>
    </row>
    <row r="212" spans="1:10" x14ac:dyDescent="0.3">
      <c r="A212" t="s">
        <v>375</v>
      </c>
      <c r="B212" t="s">
        <v>59</v>
      </c>
      <c r="C212" t="s">
        <v>40</v>
      </c>
      <c r="D212" s="1">
        <v>45372</v>
      </c>
      <c r="E212" t="s">
        <v>18</v>
      </c>
      <c r="F212" t="s">
        <v>28</v>
      </c>
      <c r="G212">
        <v>19685.28</v>
      </c>
      <c r="H212">
        <v>2000</v>
      </c>
      <c r="I212">
        <v>17685.28</v>
      </c>
      <c r="J212">
        <v>89.840124000000003</v>
      </c>
    </row>
    <row r="213" spans="1:10" x14ac:dyDescent="0.3">
      <c r="A213" t="s">
        <v>376</v>
      </c>
      <c r="B213" t="s">
        <v>377</v>
      </c>
      <c r="C213" t="s">
        <v>17</v>
      </c>
      <c r="D213" s="1">
        <v>45376</v>
      </c>
      <c r="E213" t="s">
        <v>18</v>
      </c>
      <c r="F213" t="s">
        <v>19</v>
      </c>
      <c r="G213">
        <v>29564.68</v>
      </c>
      <c r="H213">
        <v>12000</v>
      </c>
      <c r="I213">
        <v>17564.68</v>
      </c>
      <c r="J213">
        <v>59.411026999999997</v>
      </c>
    </row>
    <row r="214" spans="1:10" x14ac:dyDescent="0.3">
      <c r="A214" t="s">
        <v>378</v>
      </c>
      <c r="B214" t="s">
        <v>148</v>
      </c>
      <c r="C214" t="s">
        <v>17</v>
      </c>
      <c r="D214" s="1">
        <v>45434</v>
      </c>
      <c r="E214" t="s">
        <v>37</v>
      </c>
      <c r="F214" t="s">
        <v>32</v>
      </c>
      <c r="G214">
        <v>8886.2000000000007</v>
      </c>
      <c r="H214">
        <v>30000</v>
      </c>
      <c r="I214">
        <v>-21113.8</v>
      </c>
      <c r="J214">
        <v>-237.602125</v>
      </c>
    </row>
    <row r="215" spans="1:10" x14ac:dyDescent="0.3">
      <c r="A215" t="s">
        <v>379</v>
      </c>
      <c r="B215" t="s">
        <v>380</v>
      </c>
      <c r="C215" t="s">
        <v>64</v>
      </c>
      <c r="D215" s="1">
        <v>45442</v>
      </c>
      <c r="E215" t="s">
        <v>37</v>
      </c>
      <c r="F215" t="s">
        <v>32</v>
      </c>
      <c r="G215">
        <v>7430.76</v>
      </c>
      <c r="H215">
        <v>30000</v>
      </c>
      <c r="I215">
        <v>-22569.24</v>
      </c>
      <c r="J215">
        <v>-303.72721000000001</v>
      </c>
    </row>
    <row r="216" spans="1:10" x14ac:dyDescent="0.3">
      <c r="A216" t="s">
        <v>381</v>
      </c>
      <c r="B216" t="s">
        <v>382</v>
      </c>
      <c r="C216" t="s">
        <v>40</v>
      </c>
      <c r="D216" s="1">
        <v>45367</v>
      </c>
      <c r="E216" t="s">
        <v>18</v>
      </c>
      <c r="F216" t="s">
        <v>19</v>
      </c>
      <c r="G216">
        <v>35532.71</v>
      </c>
      <c r="H216">
        <v>12000</v>
      </c>
      <c r="I216">
        <v>23532.71</v>
      </c>
      <c r="J216">
        <v>66.228301000000002</v>
      </c>
    </row>
    <row r="217" spans="1:10" x14ac:dyDescent="0.3">
      <c r="A217" t="s">
        <v>383</v>
      </c>
      <c r="B217" t="s">
        <v>344</v>
      </c>
      <c r="C217" t="s">
        <v>12</v>
      </c>
      <c r="D217" s="1">
        <v>45353</v>
      </c>
      <c r="E217" t="s">
        <v>18</v>
      </c>
      <c r="F217" t="s">
        <v>19</v>
      </c>
      <c r="G217">
        <v>39571.089999999997</v>
      </c>
      <c r="H217">
        <v>12000</v>
      </c>
      <c r="I217">
        <v>27571.09</v>
      </c>
      <c r="J217">
        <v>69.674830999999998</v>
      </c>
    </row>
    <row r="218" spans="1:10" x14ac:dyDescent="0.3">
      <c r="A218" t="s">
        <v>384</v>
      </c>
      <c r="B218" t="s">
        <v>263</v>
      </c>
      <c r="C218" t="s">
        <v>64</v>
      </c>
      <c r="D218" s="1">
        <v>45314</v>
      </c>
      <c r="E218" t="s">
        <v>44</v>
      </c>
      <c r="F218" t="s">
        <v>19</v>
      </c>
      <c r="G218">
        <v>17414.78</v>
      </c>
      <c r="H218">
        <v>12000</v>
      </c>
      <c r="I218">
        <v>5414.78</v>
      </c>
      <c r="J218">
        <v>31.093014</v>
      </c>
    </row>
    <row r="219" spans="1:10" x14ac:dyDescent="0.3">
      <c r="A219" t="s">
        <v>385</v>
      </c>
      <c r="B219" t="s">
        <v>363</v>
      </c>
      <c r="C219" t="s">
        <v>40</v>
      </c>
      <c r="D219" s="1">
        <v>45313</v>
      </c>
      <c r="E219" t="s">
        <v>44</v>
      </c>
      <c r="F219" t="s">
        <v>28</v>
      </c>
      <c r="G219">
        <v>5523.39</v>
      </c>
      <c r="H219">
        <v>2000</v>
      </c>
      <c r="I219">
        <v>3523.39</v>
      </c>
      <c r="J219">
        <v>63.790353000000003</v>
      </c>
    </row>
    <row r="220" spans="1:10" x14ac:dyDescent="0.3">
      <c r="A220" t="s">
        <v>386</v>
      </c>
      <c r="B220" t="s">
        <v>387</v>
      </c>
      <c r="C220" t="s">
        <v>64</v>
      </c>
      <c r="D220" s="1">
        <v>45403</v>
      </c>
      <c r="E220" t="s">
        <v>27</v>
      </c>
      <c r="F220" t="s">
        <v>19</v>
      </c>
      <c r="G220">
        <v>49711.14</v>
      </c>
      <c r="H220">
        <v>12000</v>
      </c>
      <c r="I220">
        <v>37711.14</v>
      </c>
      <c r="J220">
        <v>75.860541999999995</v>
      </c>
    </row>
    <row r="221" spans="1:10" x14ac:dyDescent="0.3">
      <c r="A221" t="s">
        <v>388</v>
      </c>
      <c r="B221" t="s">
        <v>389</v>
      </c>
      <c r="C221" t="s">
        <v>12</v>
      </c>
      <c r="D221" s="1">
        <v>45432</v>
      </c>
      <c r="E221" t="s">
        <v>37</v>
      </c>
      <c r="F221" t="s">
        <v>32</v>
      </c>
      <c r="G221">
        <v>16254.33</v>
      </c>
      <c r="H221">
        <v>30000</v>
      </c>
      <c r="I221">
        <v>-13745.67</v>
      </c>
      <c r="J221">
        <v>-84.566204999999997</v>
      </c>
    </row>
    <row r="222" spans="1:10" x14ac:dyDescent="0.3">
      <c r="A222" t="s">
        <v>390</v>
      </c>
      <c r="B222" t="s">
        <v>177</v>
      </c>
      <c r="C222" t="s">
        <v>64</v>
      </c>
      <c r="D222" s="1">
        <v>45545</v>
      </c>
      <c r="E222" t="s">
        <v>24</v>
      </c>
      <c r="F222" t="s">
        <v>14</v>
      </c>
      <c r="G222">
        <v>29836.87</v>
      </c>
      <c r="H222">
        <v>500</v>
      </c>
      <c r="I222">
        <v>29336.87</v>
      </c>
      <c r="J222">
        <v>98.324220999999994</v>
      </c>
    </row>
    <row r="223" spans="1:10" x14ac:dyDescent="0.3">
      <c r="A223" t="s">
        <v>391</v>
      </c>
      <c r="B223" t="s">
        <v>274</v>
      </c>
      <c r="C223" t="s">
        <v>40</v>
      </c>
      <c r="D223" s="1">
        <v>45311</v>
      </c>
      <c r="E223" t="s">
        <v>44</v>
      </c>
      <c r="F223" t="s">
        <v>28</v>
      </c>
      <c r="G223">
        <v>44083.78</v>
      </c>
      <c r="H223">
        <v>2000</v>
      </c>
      <c r="I223">
        <v>42083.78</v>
      </c>
      <c r="J223">
        <v>95.463183999999998</v>
      </c>
    </row>
    <row r="224" spans="1:10" x14ac:dyDescent="0.3">
      <c r="A224" t="s">
        <v>392</v>
      </c>
      <c r="B224" t="s">
        <v>393</v>
      </c>
      <c r="C224" t="s">
        <v>64</v>
      </c>
      <c r="D224" s="1">
        <v>45560</v>
      </c>
      <c r="E224" t="s">
        <v>24</v>
      </c>
      <c r="F224" t="s">
        <v>19</v>
      </c>
      <c r="G224">
        <v>7716.8</v>
      </c>
      <c r="H224">
        <v>12000</v>
      </c>
      <c r="I224">
        <v>-4283.2</v>
      </c>
      <c r="J224">
        <v>-55.504871999999999</v>
      </c>
    </row>
    <row r="225" spans="1:10" x14ac:dyDescent="0.3">
      <c r="A225" t="s">
        <v>394</v>
      </c>
      <c r="B225" t="s">
        <v>204</v>
      </c>
      <c r="C225" t="s">
        <v>40</v>
      </c>
      <c r="D225" s="1">
        <v>45539</v>
      </c>
      <c r="E225" t="s">
        <v>24</v>
      </c>
      <c r="F225" t="s">
        <v>32</v>
      </c>
      <c r="G225">
        <v>4426.47</v>
      </c>
      <c r="H225">
        <v>30000</v>
      </c>
      <c r="I225">
        <v>-25573.53</v>
      </c>
      <c r="J225">
        <v>-577.74095399999999</v>
      </c>
    </row>
    <row r="226" spans="1:10" x14ac:dyDescent="0.3">
      <c r="A226" t="s">
        <v>395</v>
      </c>
      <c r="B226" t="s">
        <v>396</v>
      </c>
      <c r="C226" t="s">
        <v>64</v>
      </c>
      <c r="D226" s="1">
        <v>45650</v>
      </c>
      <c r="E226" t="s">
        <v>95</v>
      </c>
      <c r="F226" t="s">
        <v>28</v>
      </c>
      <c r="G226">
        <v>38356.68</v>
      </c>
      <c r="H226">
        <v>2000</v>
      </c>
      <c r="I226">
        <v>36356.68</v>
      </c>
      <c r="J226">
        <v>94.785784000000007</v>
      </c>
    </row>
    <row r="227" spans="1:10" x14ac:dyDescent="0.3">
      <c r="A227" t="s">
        <v>397</v>
      </c>
      <c r="B227" t="s">
        <v>268</v>
      </c>
      <c r="C227" t="s">
        <v>17</v>
      </c>
      <c r="D227" s="1">
        <v>45651</v>
      </c>
      <c r="E227" t="s">
        <v>95</v>
      </c>
      <c r="F227" t="s">
        <v>19</v>
      </c>
      <c r="G227">
        <v>34975.120000000003</v>
      </c>
      <c r="H227">
        <v>12000</v>
      </c>
      <c r="I227">
        <v>22975.119999999999</v>
      </c>
      <c r="J227">
        <v>65.689896000000005</v>
      </c>
    </row>
    <row r="228" spans="1:10" x14ac:dyDescent="0.3">
      <c r="A228" t="s">
        <v>398</v>
      </c>
      <c r="B228" t="s">
        <v>304</v>
      </c>
      <c r="C228" t="s">
        <v>12</v>
      </c>
      <c r="D228" s="1">
        <v>45564</v>
      </c>
      <c r="E228" t="s">
        <v>24</v>
      </c>
      <c r="F228" t="s">
        <v>32</v>
      </c>
      <c r="G228">
        <v>2124.77</v>
      </c>
      <c r="H228">
        <v>30000</v>
      </c>
      <c r="I228">
        <v>-27875.23</v>
      </c>
      <c r="J228">
        <v>-1311.9175250000001</v>
      </c>
    </row>
    <row r="229" spans="1:10" x14ac:dyDescent="0.3">
      <c r="A229" t="s">
        <v>399</v>
      </c>
      <c r="B229" t="s">
        <v>39</v>
      </c>
      <c r="C229" t="s">
        <v>40</v>
      </c>
      <c r="D229" s="1">
        <v>45491</v>
      </c>
      <c r="E229" t="s">
        <v>31</v>
      </c>
      <c r="F229" t="s">
        <v>32</v>
      </c>
      <c r="G229">
        <v>19590.04</v>
      </c>
      <c r="H229">
        <v>30000</v>
      </c>
      <c r="I229">
        <v>-10409.959999999999</v>
      </c>
      <c r="J229">
        <v>-53.139043999999998</v>
      </c>
    </row>
    <row r="230" spans="1:10" x14ac:dyDescent="0.3">
      <c r="A230" t="s">
        <v>400</v>
      </c>
      <c r="B230" t="s">
        <v>198</v>
      </c>
      <c r="C230" t="s">
        <v>17</v>
      </c>
      <c r="D230" s="1">
        <v>45643</v>
      </c>
      <c r="E230" t="s">
        <v>95</v>
      </c>
      <c r="F230" t="s">
        <v>14</v>
      </c>
      <c r="G230">
        <v>13488.79</v>
      </c>
      <c r="H230">
        <v>500</v>
      </c>
      <c r="I230">
        <v>12988.79</v>
      </c>
      <c r="J230">
        <v>96.293217999999996</v>
      </c>
    </row>
    <row r="231" spans="1:10" x14ac:dyDescent="0.3">
      <c r="A231" t="s">
        <v>401</v>
      </c>
      <c r="B231" t="s">
        <v>402</v>
      </c>
      <c r="C231" t="s">
        <v>64</v>
      </c>
      <c r="D231" s="1">
        <v>45612</v>
      </c>
      <c r="E231" t="s">
        <v>57</v>
      </c>
      <c r="F231" t="s">
        <v>28</v>
      </c>
      <c r="G231">
        <v>20091.599999999999</v>
      </c>
      <c r="H231">
        <v>2000</v>
      </c>
      <c r="I231">
        <v>18091.599999999999</v>
      </c>
      <c r="J231">
        <v>90.045591000000002</v>
      </c>
    </row>
    <row r="232" spans="1:10" x14ac:dyDescent="0.3">
      <c r="A232" t="s">
        <v>403</v>
      </c>
      <c r="B232" t="s">
        <v>349</v>
      </c>
      <c r="C232" t="s">
        <v>12</v>
      </c>
      <c r="D232" s="1">
        <v>45409</v>
      </c>
      <c r="E232" t="s">
        <v>27</v>
      </c>
      <c r="F232" t="s">
        <v>14</v>
      </c>
      <c r="G232">
        <v>41840.17</v>
      </c>
      <c r="H232">
        <v>500</v>
      </c>
      <c r="I232">
        <v>41340.17</v>
      </c>
      <c r="J232">
        <v>98.804975999999996</v>
      </c>
    </row>
    <row r="233" spans="1:10" x14ac:dyDescent="0.3">
      <c r="A233" t="s">
        <v>404</v>
      </c>
      <c r="B233" t="s">
        <v>191</v>
      </c>
      <c r="C233" t="s">
        <v>64</v>
      </c>
      <c r="D233" s="1">
        <v>45380</v>
      </c>
      <c r="E233" t="s">
        <v>18</v>
      </c>
      <c r="F233" t="s">
        <v>14</v>
      </c>
      <c r="G233">
        <v>16487.2</v>
      </c>
      <c r="H233">
        <v>500</v>
      </c>
      <c r="I233">
        <v>15987.2</v>
      </c>
      <c r="J233">
        <v>96.967343999999997</v>
      </c>
    </row>
    <row r="234" spans="1:10" x14ac:dyDescent="0.3">
      <c r="A234" t="s">
        <v>405</v>
      </c>
      <c r="B234" t="s">
        <v>406</v>
      </c>
      <c r="C234" t="s">
        <v>40</v>
      </c>
      <c r="D234" s="1">
        <v>45622</v>
      </c>
      <c r="E234" t="s">
        <v>57</v>
      </c>
      <c r="F234" t="s">
        <v>14</v>
      </c>
      <c r="G234">
        <v>35963.57</v>
      </c>
      <c r="H234">
        <v>500</v>
      </c>
      <c r="I234">
        <v>35463.57</v>
      </c>
      <c r="J234">
        <v>98.609703999999994</v>
      </c>
    </row>
    <row r="235" spans="1:10" x14ac:dyDescent="0.3">
      <c r="A235" t="s">
        <v>407</v>
      </c>
      <c r="B235" t="s">
        <v>86</v>
      </c>
      <c r="C235" t="s">
        <v>40</v>
      </c>
      <c r="D235" s="1">
        <v>45627</v>
      </c>
      <c r="E235" t="s">
        <v>95</v>
      </c>
      <c r="F235" t="s">
        <v>28</v>
      </c>
      <c r="G235">
        <v>24381.62</v>
      </c>
      <c r="H235">
        <v>2000</v>
      </c>
      <c r="I235">
        <v>22381.62</v>
      </c>
      <c r="J235">
        <v>91.7971</v>
      </c>
    </row>
    <row r="236" spans="1:10" x14ac:dyDescent="0.3">
      <c r="A236" t="s">
        <v>408</v>
      </c>
      <c r="B236" t="s">
        <v>34</v>
      </c>
      <c r="C236" t="s">
        <v>12</v>
      </c>
      <c r="D236" s="1">
        <v>45525</v>
      </c>
      <c r="E236" t="s">
        <v>47</v>
      </c>
      <c r="F236" t="s">
        <v>14</v>
      </c>
      <c r="G236">
        <v>8242.9</v>
      </c>
      <c r="H236">
        <v>500</v>
      </c>
      <c r="I236">
        <v>7742.9</v>
      </c>
      <c r="J236">
        <v>93.934173999999999</v>
      </c>
    </row>
    <row r="237" spans="1:10" x14ac:dyDescent="0.3">
      <c r="A237" t="s">
        <v>409</v>
      </c>
      <c r="B237" t="s">
        <v>66</v>
      </c>
      <c r="C237" t="s">
        <v>40</v>
      </c>
      <c r="D237" s="1">
        <v>45624</v>
      </c>
      <c r="E237" t="s">
        <v>57</v>
      </c>
      <c r="F237" t="s">
        <v>32</v>
      </c>
      <c r="G237">
        <v>18046.599999999999</v>
      </c>
      <c r="H237">
        <v>30000</v>
      </c>
      <c r="I237">
        <v>-11953.4</v>
      </c>
      <c r="J237">
        <v>-66.236299000000002</v>
      </c>
    </row>
    <row r="238" spans="1:10" x14ac:dyDescent="0.3">
      <c r="A238" t="s">
        <v>410</v>
      </c>
      <c r="B238" t="s">
        <v>300</v>
      </c>
      <c r="C238" t="s">
        <v>40</v>
      </c>
      <c r="D238" s="1">
        <v>45375</v>
      </c>
      <c r="E238" t="s">
        <v>18</v>
      </c>
      <c r="F238" t="s">
        <v>28</v>
      </c>
      <c r="G238">
        <v>50205.85</v>
      </c>
      <c r="H238">
        <v>2000</v>
      </c>
      <c r="I238">
        <v>48205.85</v>
      </c>
      <c r="J238">
        <v>96.016400000000004</v>
      </c>
    </row>
    <row r="239" spans="1:10" x14ac:dyDescent="0.3">
      <c r="A239" t="s">
        <v>411</v>
      </c>
      <c r="B239" t="s">
        <v>412</v>
      </c>
      <c r="C239" t="s">
        <v>64</v>
      </c>
      <c r="D239" s="1">
        <v>45617</v>
      </c>
      <c r="E239" t="s">
        <v>57</v>
      </c>
      <c r="F239" t="s">
        <v>14</v>
      </c>
      <c r="G239">
        <v>2803.89</v>
      </c>
      <c r="H239">
        <v>500</v>
      </c>
      <c r="I239">
        <v>2303.89</v>
      </c>
      <c r="J239">
        <v>82.167631</v>
      </c>
    </row>
    <row r="240" spans="1:10" x14ac:dyDescent="0.3">
      <c r="A240" t="s">
        <v>413</v>
      </c>
      <c r="B240" t="s">
        <v>231</v>
      </c>
      <c r="C240" t="s">
        <v>64</v>
      </c>
      <c r="D240" s="1">
        <v>45330</v>
      </c>
      <c r="E240" t="s">
        <v>49</v>
      </c>
      <c r="F240" t="s">
        <v>14</v>
      </c>
      <c r="G240">
        <v>20220.400000000001</v>
      </c>
      <c r="H240">
        <v>500</v>
      </c>
      <c r="I240">
        <v>19720.400000000001</v>
      </c>
      <c r="J240">
        <v>97.527249999999995</v>
      </c>
    </row>
    <row r="241" spans="1:10" x14ac:dyDescent="0.3">
      <c r="A241" t="s">
        <v>414</v>
      </c>
      <c r="B241" t="s">
        <v>415</v>
      </c>
      <c r="C241" t="s">
        <v>40</v>
      </c>
      <c r="D241" s="1">
        <v>45404</v>
      </c>
      <c r="E241" t="s">
        <v>27</v>
      </c>
      <c r="F241" t="s">
        <v>14</v>
      </c>
      <c r="G241">
        <v>28241.48</v>
      </c>
      <c r="H241">
        <v>500</v>
      </c>
      <c r="I241">
        <v>27741.48</v>
      </c>
      <c r="J241">
        <v>98.229555000000005</v>
      </c>
    </row>
    <row r="242" spans="1:10" x14ac:dyDescent="0.3">
      <c r="A242" t="s">
        <v>416</v>
      </c>
      <c r="B242" t="s">
        <v>417</v>
      </c>
      <c r="C242" t="s">
        <v>12</v>
      </c>
      <c r="D242" s="1">
        <v>45489</v>
      </c>
      <c r="E242" t="s">
        <v>31</v>
      </c>
      <c r="F242" t="s">
        <v>19</v>
      </c>
      <c r="G242">
        <v>27125.87</v>
      </c>
      <c r="H242">
        <v>12000</v>
      </c>
      <c r="I242">
        <v>15125.87</v>
      </c>
      <c r="J242">
        <v>55.761788000000003</v>
      </c>
    </row>
    <row r="243" spans="1:10" x14ac:dyDescent="0.3">
      <c r="A243" t="s">
        <v>418</v>
      </c>
      <c r="B243" t="s">
        <v>419</v>
      </c>
      <c r="C243" t="s">
        <v>64</v>
      </c>
      <c r="D243" s="1">
        <v>45329</v>
      </c>
      <c r="E243" t="s">
        <v>49</v>
      </c>
      <c r="F243" t="s">
        <v>14</v>
      </c>
      <c r="G243">
        <v>32485.82</v>
      </c>
      <c r="H243">
        <v>500</v>
      </c>
      <c r="I243">
        <v>31985.82</v>
      </c>
      <c r="J243">
        <v>98.460866999999993</v>
      </c>
    </row>
    <row r="244" spans="1:10" x14ac:dyDescent="0.3">
      <c r="A244" t="s">
        <v>420</v>
      </c>
      <c r="B244" t="s">
        <v>174</v>
      </c>
      <c r="C244" t="s">
        <v>12</v>
      </c>
      <c r="D244" s="1">
        <v>45535</v>
      </c>
      <c r="E244" t="s">
        <v>47</v>
      </c>
      <c r="F244" t="s">
        <v>28</v>
      </c>
      <c r="G244">
        <v>9499.2099999999991</v>
      </c>
      <c r="H244">
        <v>2000</v>
      </c>
      <c r="I244">
        <v>7499.21</v>
      </c>
      <c r="J244">
        <v>78.945617999999996</v>
      </c>
    </row>
    <row r="245" spans="1:10" x14ac:dyDescent="0.3">
      <c r="A245" t="s">
        <v>421</v>
      </c>
      <c r="B245" t="s">
        <v>223</v>
      </c>
      <c r="C245" t="s">
        <v>64</v>
      </c>
      <c r="D245" s="1">
        <v>45348</v>
      </c>
      <c r="E245" t="s">
        <v>49</v>
      </c>
      <c r="F245" t="s">
        <v>19</v>
      </c>
      <c r="G245">
        <v>1779.83</v>
      </c>
      <c r="H245">
        <v>12000</v>
      </c>
      <c r="I245">
        <v>-10220.17</v>
      </c>
      <c r="J245">
        <v>-574.22169499999995</v>
      </c>
    </row>
    <row r="246" spans="1:10" x14ac:dyDescent="0.3">
      <c r="A246" t="s">
        <v>422</v>
      </c>
      <c r="B246" t="s">
        <v>88</v>
      </c>
      <c r="C246" t="s">
        <v>17</v>
      </c>
      <c r="D246" s="1">
        <v>45478</v>
      </c>
      <c r="E246" t="s">
        <v>31</v>
      </c>
      <c r="F246" t="s">
        <v>19</v>
      </c>
      <c r="G246">
        <v>1449.1</v>
      </c>
      <c r="H246">
        <v>12000</v>
      </c>
      <c r="I246">
        <v>-10550.9</v>
      </c>
      <c r="J246">
        <v>-728.10019999999997</v>
      </c>
    </row>
    <row r="247" spans="1:10" x14ac:dyDescent="0.3">
      <c r="A247" t="s">
        <v>423</v>
      </c>
      <c r="B247" t="s">
        <v>424</v>
      </c>
      <c r="C247" t="s">
        <v>40</v>
      </c>
      <c r="D247" s="1">
        <v>45412</v>
      </c>
      <c r="E247" t="s">
        <v>27</v>
      </c>
      <c r="F247" t="s">
        <v>19</v>
      </c>
      <c r="G247">
        <v>39421.4</v>
      </c>
      <c r="H247">
        <v>12000</v>
      </c>
      <c r="I247">
        <v>27421.4</v>
      </c>
      <c r="J247">
        <v>69.559680999999998</v>
      </c>
    </row>
    <row r="248" spans="1:10" x14ac:dyDescent="0.3">
      <c r="A248" t="s">
        <v>425</v>
      </c>
      <c r="B248" t="s">
        <v>426</v>
      </c>
      <c r="C248" t="s">
        <v>12</v>
      </c>
      <c r="D248" s="1">
        <v>45523</v>
      </c>
      <c r="E248" t="s">
        <v>47</v>
      </c>
      <c r="F248" t="s">
        <v>28</v>
      </c>
      <c r="G248">
        <v>28935.27</v>
      </c>
      <c r="H248">
        <v>2000</v>
      </c>
      <c r="I248">
        <v>26935.27</v>
      </c>
      <c r="J248">
        <v>93.08802</v>
      </c>
    </row>
    <row r="249" spans="1:10" x14ac:dyDescent="0.3">
      <c r="A249" t="s">
        <v>427</v>
      </c>
      <c r="B249" t="s">
        <v>428</v>
      </c>
      <c r="C249" t="s">
        <v>64</v>
      </c>
      <c r="D249" s="1">
        <v>45359</v>
      </c>
      <c r="E249" t="s">
        <v>18</v>
      </c>
      <c r="F249" t="s">
        <v>28</v>
      </c>
      <c r="G249">
        <v>34625.910000000003</v>
      </c>
      <c r="H249">
        <v>2000</v>
      </c>
      <c r="I249">
        <v>32625.91</v>
      </c>
      <c r="J249">
        <v>94.223979</v>
      </c>
    </row>
    <row r="250" spans="1:10" x14ac:dyDescent="0.3">
      <c r="A250" t="s">
        <v>429</v>
      </c>
      <c r="B250" t="s">
        <v>377</v>
      </c>
      <c r="C250" t="s">
        <v>17</v>
      </c>
      <c r="D250" s="1">
        <v>45325</v>
      </c>
      <c r="E250" t="s">
        <v>49</v>
      </c>
      <c r="F250" t="s">
        <v>28</v>
      </c>
      <c r="G250">
        <v>26454.83</v>
      </c>
      <c r="H250">
        <v>2000</v>
      </c>
      <c r="I250">
        <v>24454.83</v>
      </c>
      <c r="J250">
        <v>92.439943999999997</v>
      </c>
    </row>
    <row r="251" spans="1:10" x14ac:dyDescent="0.3">
      <c r="A251" t="s">
        <v>430</v>
      </c>
      <c r="B251" t="s">
        <v>155</v>
      </c>
      <c r="C251" t="s">
        <v>40</v>
      </c>
      <c r="D251" s="1">
        <v>45447</v>
      </c>
      <c r="E251" t="s">
        <v>41</v>
      </c>
      <c r="F251" t="s">
        <v>32</v>
      </c>
      <c r="G251">
        <v>41280.629999999997</v>
      </c>
      <c r="H251">
        <v>30000</v>
      </c>
      <c r="I251">
        <v>11280.63</v>
      </c>
      <c r="J251">
        <v>27.326691</v>
      </c>
    </row>
    <row r="252" spans="1:10" x14ac:dyDescent="0.3">
      <c r="A252" t="s">
        <v>431</v>
      </c>
      <c r="B252" t="s">
        <v>432</v>
      </c>
      <c r="C252" t="s">
        <v>64</v>
      </c>
      <c r="D252" s="1">
        <v>45389</v>
      </c>
      <c r="E252" t="s">
        <v>27</v>
      </c>
      <c r="F252" t="s">
        <v>19</v>
      </c>
      <c r="G252">
        <v>44903.47</v>
      </c>
      <c r="H252">
        <v>12000</v>
      </c>
      <c r="I252">
        <v>32903.47</v>
      </c>
      <c r="J252">
        <v>73.276007000000007</v>
      </c>
    </row>
    <row r="253" spans="1:10" x14ac:dyDescent="0.3">
      <c r="A253" t="s">
        <v>433</v>
      </c>
      <c r="B253" t="s">
        <v>344</v>
      </c>
      <c r="C253" t="s">
        <v>12</v>
      </c>
      <c r="D253" s="1">
        <v>45302</v>
      </c>
      <c r="E253" t="s">
        <v>44</v>
      </c>
      <c r="F253" t="s">
        <v>14</v>
      </c>
      <c r="G253">
        <v>35923.99</v>
      </c>
      <c r="H253">
        <v>500</v>
      </c>
      <c r="I253">
        <v>35423.99</v>
      </c>
      <c r="J253">
        <v>98.608171999999996</v>
      </c>
    </row>
    <row r="254" spans="1:10" x14ac:dyDescent="0.3">
      <c r="A254" t="s">
        <v>434</v>
      </c>
      <c r="B254" t="s">
        <v>435</v>
      </c>
      <c r="C254" t="s">
        <v>12</v>
      </c>
      <c r="D254" s="1">
        <v>45380</v>
      </c>
      <c r="E254" t="s">
        <v>18</v>
      </c>
      <c r="F254" t="s">
        <v>28</v>
      </c>
      <c r="G254">
        <v>10840.76</v>
      </c>
      <c r="H254">
        <v>2000</v>
      </c>
      <c r="I254">
        <v>8840.76</v>
      </c>
      <c r="J254">
        <v>81.551108999999997</v>
      </c>
    </row>
    <row r="255" spans="1:10" x14ac:dyDescent="0.3">
      <c r="A255" t="s">
        <v>436</v>
      </c>
      <c r="B255" t="s">
        <v>109</v>
      </c>
      <c r="C255" t="s">
        <v>40</v>
      </c>
      <c r="D255" s="1">
        <v>45625</v>
      </c>
      <c r="E255" t="s">
        <v>57</v>
      </c>
      <c r="F255" t="s">
        <v>19</v>
      </c>
      <c r="G255">
        <v>45092.03</v>
      </c>
      <c r="H255">
        <v>12000</v>
      </c>
      <c r="I255">
        <v>33092.03</v>
      </c>
      <c r="J255">
        <v>73.387758000000005</v>
      </c>
    </row>
    <row r="256" spans="1:10" x14ac:dyDescent="0.3">
      <c r="A256" t="s">
        <v>437</v>
      </c>
      <c r="B256" t="s">
        <v>438</v>
      </c>
      <c r="C256" t="s">
        <v>64</v>
      </c>
      <c r="D256" s="1">
        <v>45359</v>
      </c>
      <c r="E256" t="s">
        <v>18</v>
      </c>
      <c r="F256" t="s">
        <v>14</v>
      </c>
      <c r="G256">
        <v>10941.39</v>
      </c>
      <c r="H256">
        <v>500</v>
      </c>
      <c r="I256">
        <v>10441.39</v>
      </c>
      <c r="J256">
        <v>95.430197000000007</v>
      </c>
    </row>
    <row r="257" spans="1:10" x14ac:dyDescent="0.3">
      <c r="A257" t="s">
        <v>439</v>
      </c>
      <c r="B257" t="s">
        <v>374</v>
      </c>
      <c r="C257" t="s">
        <v>64</v>
      </c>
      <c r="D257" s="1">
        <v>45337</v>
      </c>
      <c r="E257" t="s">
        <v>49</v>
      </c>
      <c r="F257" t="s">
        <v>28</v>
      </c>
      <c r="G257">
        <v>15685.44</v>
      </c>
      <c r="H257">
        <v>2000</v>
      </c>
      <c r="I257">
        <v>13685.44</v>
      </c>
      <c r="J257">
        <v>87.249322000000006</v>
      </c>
    </row>
    <row r="258" spans="1:10" x14ac:dyDescent="0.3">
      <c r="A258" t="s">
        <v>440</v>
      </c>
      <c r="B258" t="s">
        <v>441</v>
      </c>
      <c r="C258" t="s">
        <v>17</v>
      </c>
      <c r="D258" s="1">
        <v>45407</v>
      </c>
      <c r="E258" t="s">
        <v>27</v>
      </c>
      <c r="F258" t="s">
        <v>28</v>
      </c>
      <c r="G258">
        <v>11762.61</v>
      </c>
      <c r="H258">
        <v>2000</v>
      </c>
      <c r="I258">
        <v>9762.61</v>
      </c>
      <c r="J258">
        <v>82.996971000000002</v>
      </c>
    </row>
    <row r="259" spans="1:10" x14ac:dyDescent="0.3">
      <c r="A259" t="s">
        <v>442</v>
      </c>
      <c r="B259" t="s">
        <v>97</v>
      </c>
      <c r="C259" t="s">
        <v>40</v>
      </c>
      <c r="D259" s="1">
        <v>45453</v>
      </c>
      <c r="E259" t="s">
        <v>41</v>
      </c>
      <c r="F259" t="s">
        <v>14</v>
      </c>
      <c r="G259">
        <v>22792.66</v>
      </c>
      <c r="H259">
        <v>500</v>
      </c>
      <c r="I259">
        <v>22292.66</v>
      </c>
      <c r="J259">
        <v>97.806310999999994</v>
      </c>
    </row>
    <row r="260" spans="1:10" x14ac:dyDescent="0.3">
      <c r="A260" t="s">
        <v>443</v>
      </c>
      <c r="B260" t="s">
        <v>202</v>
      </c>
      <c r="C260" t="s">
        <v>12</v>
      </c>
      <c r="D260" s="1">
        <v>45410</v>
      </c>
      <c r="E260" t="s">
        <v>27</v>
      </c>
      <c r="F260" t="s">
        <v>32</v>
      </c>
      <c r="G260">
        <v>45355.71</v>
      </c>
      <c r="H260">
        <v>30000</v>
      </c>
      <c r="I260">
        <v>15355.71</v>
      </c>
      <c r="J260">
        <v>33.856178</v>
      </c>
    </row>
    <row r="261" spans="1:10" x14ac:dyDescent="0.3">
      <c r="A261" t="s">
        <v>444</v>
      </c>
      <c r="B261" t="s">
        <v>204</v>
      </c>
      <c r="C261" t="s">
        <v>40</v>
      </c>
      <c r="D261" s="1">
        <v>45552</v>
      </c>
      <c r="E261" t="s">
        <v>24</v>
      </c>
      <c r="F261" t="s">
        <v>32</v>
      </c>
      <c r="G261">
        <v>45556.37</v>
      </c>
      <c r="H261">
        <v>30000</v>
      </c>
      <c r="I261">
        <v>15556.37</v>
      </c>
      <c r="J261">
        <v>34.147519000000003</v>
      </c>
    </row>
    <row r="262" spans="1:10" x14ac:dyDescent="0.3">
      <c r="A262" t="s">
        <v>445</v>
      </c>
      <c r="B262" t="s">
        <v>446</v>
      </c>
      <c r="C262" t="s">
        <v>12</v>
      </c>
      <c r="D262" s="1">
        <v>45601</v>
      </c>
      <c r="E262" t="s">
        <v>57</v>
      </c>
      <c r="F262" t="s">
        <v>32</v>
      </c>
      <c r="G262">
        <v>8713.5499999999993</v>
      </c>
      <c r="H262">
        <v>30000</v>
      </c>
      <c r="I262">
        <v>-21286.45</v>
      </c>
      <c r="J262">
        <v>-244.29136199999999</v>
      </c>
    </row>
    <row r="263" spans="1:10" x14ac:dyDescent="0.3">
      <c r="A263" t="s">
        <v>447</v>
      </c>
      <c r="B263" t="s">
        <v>448</v>
      </c>
      <c r="C263" t="s">
        <v>40</v>
      </c>
      <c r="D263" s="1">
        <v>45405</v>
      </c>
      <c r="E263" t="s">
        <v>27</v>
      </c>
      <c r="F263" t="s">
        <v>32</v>
      </c>
      <c r="G263">
        <v>16796.939999999999</v>
      </c>
      <c r="H263">
        <v>30000</v>
      </c>
      <c r="I263">
        <v>-13203.06</v>
      </c>
      <c r="J263">
        <v>-78.603960000000001</v>
      </c>
    </row>
    <row r="264" spans="1:10" x14ac:dyDescent="0.3">
      <c r="A264" t="s">
        <v>449</v>
      </c>
      <c r="B264" t="s">
        <v>396</v>
      </c>
      <c r="C264" t="s">
        <v>64</v>
      </c>
      <c r="D264" s="1">
        <v>45486</v>
      </c>
      <c r="E264" t="s">
        <v>31</v>
      </c>
      <c r="F264" t="s">
        <v>19</v>
      </c>
      <c r="G264">
        <v>42589.52</v>
      </c>
      <c r="H264">
        <v>12000</v>
      </c>
      <c r="I264">
        <v>30589.52</v>
      </c>
      <c r="J264">
        <v>71.824054000000004</v>
      </c>
    </row>
    <row r="265" spans="1:10" x14ac:dyDescent="0.3">
      <c r="A265" t="s">
        <v>450</v>
      </c>
      <c r="B265" t="s">
        <v>435</v>
      </c>
      <c r="C265" t="s">
        <v>12</v>
      </c>
      <c r="D265" s="1">
        <v>45583</v>
      </c>
      <c r="E265" t="s">
        <v>13</v>
      </c>
      <c r="F265" t="s">
        <v>19</v>
      </c>
      <c r="G265">
        <v>22386.95</v>
      </c>
      <c r="H265">
        <v>12000</v>
      </c>
      <c r="I265">
        <v>10386.950000000001</v>
      </c>
      <c r="J265">
        <v>46.397342999999999</v>
      </c>
    </row>
    <row r="266" spans="1:10" x14ac:dyDescent="0.3">
      <c r="A266" t="s">
        <v>451</v>
      </c>
      <c r="B266" t="s">
        <v>115</v>
      </c>
      <c r="C266" t="s">
        <v>17</v>
      </c>
      <c r="D266" s="1">
        <v>45444</v>
      </c>
      <c r="E266" t="s">
        <v>41</v>
      </c>
      <c r="F266" t="s">
        <v>28</v>
      </c>
      <c r="G266">
        <v>5999.05</v>
      </c>
      <c r="H266">
        <v>2000</v>
      </c>
      <c r="I266">
        <v>3999.05</v>
      </c>
      <c r="J266">
        <v>66.661388000000002</v>
      </c>
    </row>
    <row r="267" spans="1:10" x14ac:dyDescent="0.3">
      <c r="A267" t="s">
        <v>452</v>
      </c>
      <c r="B267" t="s">
        <v>453</v>
      </c>
      <c r="C267" t="s">
        <v>64</v>
      </c>
      <c r="D267" s="1">
        <v>45323</v>
      </c>
      <c r="E267" t="s">
        <v>49</v>
      </c>
      <c r="F267" t="s">
        <v>19</v>
      </c>
      <c r="G267">
        <v>43075.63</v>
      </c>
      <c r="H267">
        <v>12000</v>
      </c>
      <c r="I267">
        <v>31075.63</v>
      </c>
      <c r="J267">
        <v>72.142021</v>
      </c>
    </row>
    <row r="268" spans="1:10" x14ac:dyDescent="0.3">
      <c r="A268" t="s">
        <v>454</v>
      </c>
      <c r="B268" t="s">
        <v>145</v>
      </c>
      <c r="C268" t="s">
        <v>40</v>
      </c>
      <c r="D268" s="1">
        <v>45295</v>
      </c>
      <c r="E268" t="s">
        <v>44</v>
      </c>
      <c r="F268" t="s">
        <v>14</v>
      </c>
      <c r="G268">
        <v>13282.78</v>
      </c>
      <c r="H268">
        <v>500</v>
      </c>
      <c r="I268">
        <v>12782.78</v>
      </c>
      <c r="J268">
        <v>96.235727999999995</v>
      </c>
    </row>
    <row r="269" spans="1:10" x14ac:dyDescent="0.3">
      <c r="A269" t="s">
        <v>455</v>
      </c>
      <c r="B269" t="s">
        <v>354</v>
      </c>
      <c r="C269" t="s">
        <v>17</v>
      </c>
      <c r="D269" s="1">
        <v>45571</v>
      </c>
      <c r="E269" t="s">
        <v>13</v>
      </c>
      <c r="F269" t="s">
        <v>19</v>
      </c>
      <c r="G269">
        <v>9231.2099999999991</v>
      </c>
      <c r="H269">
        <v>12000</v>
      </c>
      <c r="I269">
        <v>-2768.79</v>
      </c>
      <c r="J269">
        <v>-29.993793</v>
      </c>
    </row>
    <row r="270" spans="1:10" x14ac:dyDescent="0.3">
      <c r="A270" t="s">
        <v>456</v>
      </c>
      <c r="B270" t="s">
        <v>97</v>
      </c>
      <c r="C270" t="s">
        <v>40</v>
      </c>
      <c r="D270" s="1">
        <v>45636</v>
      </c>
      <c r="E270" t="s">
        <v>95</v>
      </c>
      <c r="F270" t="s">
        <v>19</v>
      </c>
      <c r="G270">
        <v>22825.5</v>
      </c>
      <c r="H270">
        <v>12000</v>
      </c>
      <c r="I270">
        <v>10825.5</v>
      </c>
      <c r="J270">
        <v>47.427219999999998</v>
      </c>
    </row>
    <row r="271" spans="1:10" x14ac:dyDescent="0.3">
      <c r="A271" t="s">
        <v>457</v>
      </c>
      <c r="B271" t="s">
        <v>331</v>
      </c>
      <c r="C271" t="s">
        <v>12</v>
      </c>
      <c r="D271" s="1">
        <v>45406</v>
      </c>
      <c r="E271" t="s">
        <v>27</v>
      </c>
      <c r="F271" t="s">
        <v>28</v>
      </c>
      <c r="G271">
        <v>8925.39</v>
      </c>
      <c r="H271">
        <v>2000</v>
      </c>
      <c r="I271">
        <v>6925.39</v>
      </c>
      <c r="J271">
        <v>77.592016000000001</v>
      </c>
    </row>
    <row r="272" spans="1:10" x14ac:dyDescent="0.3">
      <c r="A272" t="s">
        <v>458</v>
      </c>
      <c r="B272" t="s">
        <v>459</v>
      </c>
      <c r="C272" t="s">
        <v>64</v>
      </c>
      <c r="D272" s="1">
        <v>45654</v>
      </c>
      <c r="E272" t="s">
        <v>95</v>
      </c>
      <c r="F272" t="s">
        <v>14</v>
      </c>
      <c r="G272">
        <v>2851.82</v>
      </c>
      <c r="H272">
        <v>500</v>
      </c>
      <c r="I272">
        <v>2351.8200000000002</v>
      </c>
      <c r="J272">
        <v>82.467337000000001</v>
      </c>
    </row>
    <row r="273" spans="1:10" x14ac:dyDescent="0.3">
      <c r="A273" t="s">
        <v>460</v>
      </c>
      <c r="B273" t="s">
        <v>148</v>
      </c>
      <c r="C273" t="s">
        <v>17</v>
      </c>
      <c r="D273" s="1">
        <v>45423</v>
      </c>
      <c r="E273" t="s">
        <v>37</v>
      </c>
      <c r="F273" t="s">
        <v>14</v>
      </c>
      <c r="G273">
        <v>22073.69</v>
      </c>
      <c r="H273">
        <v>500</v>
      </c>
      <c r="I273">
        <v>21573.69</v>
      </c>
      <c r="J273">
        <v>97.734859999999998</v>
      </c>
    </row>
    <row r="274" spans="1:10" x14ac:dyDescent="0.3">
      <c r="A274" t="s">
        <v>461</v>
      </c>
      <c r="B274" t="s">
        <v>288</v>
      </c>
      <c r="C274" t="s">
        <v>17</v>
      </c>
      <c r="D274" s="1">
        <v>45466</v>
      </c>
      <c r="E274" t="s">
        <v>41</v>
      </c>
      <c r="F274" t="s">
        <v>19</v>
      </c>
      <c r="G274">
        <v>50198.83</v>
      </c>
      <c r="H274">
        <v>12000</v>
      </c>
      <c r="I274">
        <v>38198.83</v>
      </c>
      <c r="J274">
        <v>76.095060000000004</v>
      </c>
    </row>
    <row r="275" spans="1:10" x14ac:dyDescent="0.3">
      <c r="A275" t="s">
        <v>462</v>
      </c>
      <c r="B275" t="s">
        <v>157</v>
      </c>
      <c r="C275" t="s">
        <v>64</v>
      </c>
      <c r="D275" s="1">
        <v>45443</v>
      </c>
      <c r="E275" t="s">
        <v>37</v>
      </c>
      <c r="F275" t="s">
        <v>19</v>
      </c>
      <c r="G275">
        <v>13864.29</v>
      </c>
      <c r="H275">
        <v>12000</v>
      </c>
      <c r="I275">
        <v>1864.29</v>
      </c>
      <c r="J275">
        <v>13.446704</v>
      </c>
    </row>
    <row r="276" spans="1:10" x14ac:dyDescent="0.3">
      <c r="A276" t="s">
        <v>463</v>
      </c>
      <c r="B276" t="s">
        <v>453</v>
      </c>
      <c r="C276" t="s">
        <v>64</v>
      </c>
      <c r="D276" s="1">
        <v>45437</v>
      </c>
      <c r="E276" t="s">
        <v>37</v>
      </c>
      <c r="F276" t="s">
        <v>14</v>
      </c>
      <c r="G276">
        <v>36011.360000000001</v>
      </c>
      <c r="H276">
        <v>500</v>
      </c>
      <c r="I276">
        <v>35511.360000000001</v>
      </c>
      <c r="J276">
        <v>98.611548999999997</v>
      </c>
    </row>
    <row r="277" spans="1:10" x14ac:dyDescent="0.3">
      <c r="A277" t="s">
        <v>464</v>
      </c>
      <c r="B277" t="s">
        <v>39</v>
      </c>
      <c r="C277" t="s">
        <v>40</v>
      </c>
      <c r="D277" s="1">
        <v>45563</v>
      </c>
      <c r="E277" t="s">
        <v>24</v>
      </c>
      <c r="F277" t="s">
        <v>14</v>
      </c>
      <c r="G277">
        <v>32236.59</v>
      </c>
      <c r="H277">
        <v>500</v>
      </c>
      <c r="I277">
        <v>31736.59</v>
      </c>
      <c r="J277">
        <v>98.448966999999996</v>
      </c>
    </row>
    <row r="278" spans="1:10" x14ac:dyDescent="0.3">
      <c r="A278" t="s">
        <v>465</v>
      </c>
      <c r="B278" t="s">
        <v>466</v>
      </c>
      <c r="C278" t="s">
        <v>40</v>
      </c>
      <c r="D278" s="1">
        <v>45329</v>
      </c>
      <c r="E278" t="s">
        <v>49</v>
      </c>
      <c r="F278" t="s">
        <v>19</v>
      </c>
      <c r="G278">
        <v>32706</v>
      </c>
      <c r="H278">
        <v>12000</v>
      </c>
      <c r="I278">
        <v>20706</v>
      </c>
      <c r="J278">
        <v>63.309483999999998</v>
      </c>
    </row>
    <row r="279" spans="1:10" x14ac:dyDescent="0.3">
      <c r="A279" t="s">
        <v>467</v>
      </c>
      <c r="B279" t="s">
        <v>86</v>
      </c>
      <c r="C279" t="s">
        <v>40</v>
      </c>
      <c r="D279" s="1">
        <v>45451</v>
      </c>
      <c r="E279" t="s">
        <v>41</v>
      </c>
      <c r="F279" t="s">
        <v>32</v>
      </c>
      <c r="G279">
        <v>42359.03</v>
      </c>
      <c r="H279">
        <v>30000</v>
      </c>
      <c r="I279">
        <v>12359.03</v>
      </c>
      <c r="J279">
        <v>29.176848</v>
      </c>
    </row>
    <row r="280" spans="1:10" x14ac:dyDescent="0.3">
      <c r="A280" t="s">
        <v>468</v>
      </c>
      <c r="B280" t="s">
        <v>331</v>
      </c>
      <c r="C280" t="s">
        <v>12</v>
      </c>
      <c r="D280" s="1">
        <v>45441</v>
      </c>
      <c r="E280" t="s">
        <v>37</v>
      </c>
      <c r="F280" t="s">
        <v>32</v>
      </c>
      <c r="G280">
        <v>16517.48</v>
      </c>
      <c r="H280">
        <v>30000</v>
      </c>
      <c r="I280">
        <v>-13482.52</v>
      </c>
      <c r="J280">
        <v>-81.625769000000005</v>
      </c>
    </row>
    <row r="281" spans="1:10" x14ac:dyDescent="0.3">
      <c r="A281" t="s">
        <v>469</v>
      </c>
      <c r="B281" t="s">
        <v>459</v>
      </c>
      <c r="C281" t="s">
        <v>64</v>
      </c>
      <c r="D281" s="1">
        <v>45340</v>
      </c>
      <c r="E281" t="s">
        <v>49</v>
      </c>
      <c r="F281" t="s">
        <v>19</v>
      </c>
      <c r="G281">
        <v>4538.34</v>
      </c>
      <c r="H281">
        <v>12000</v>
      </c>
      <c r="I281">
        <v>-7461.66</v>
      </c>
      <c r="J281">
        <v>-164.413861</v>
      </c>
    </row>
    <row r="282" spans="1:10" x14ac:dyDescent="0.3">
      <c r="A282" t="s">
        <v>470</v>
      </c>
      <c r="B282" t="s">
        <v>134</v>
      </c>
      <c r="C282" t="s">
        <v>40</v>
      </c>
      <c r="D282" s="1">
        <v>45648</v>
      </c>
      <c r="E282" t="s">
        <v>95</v>
      </c>
      <c r="F282" t="s">
        <v>14</v>
      </c>
      <c r="G282">
        <v>14803.4</v>
      </c>
      <c r="H282">
        <v>500</v>
      </c>
      <c r="I282">
        <v>14303.4</v>
      </c>
      <c r="J282">
        <v>96.622398000000004</v>
      </c>
    </row>
    <row r="283" spans="1:10" x14ac:dyDescent="0.3">
      <c r="A283" t="s">
        <v>471</v>
      </c>
      <c r="B283" t="s">
        <v>441</v>
      </c>
      <c r="C283" t="s">
        <v>17</v>
      </c>
      <c r="D283" s="1">
        <v>45492</v>
      </c>
      <c r="E283" t="s">
        <v>31</v>
      </c>
      <c r="F283" t="s">
        <v>14</v>
      </c>
      <c r="G283">
        <v>16704.77</v>
      </c>
      <c r="H283">
        <v>500</v>
      </c>
      <c r="I283">
        <v>16204.77</v>
      </c>
      <c r="J283">
        <v>97.006843000000003</v>
      </c>
    </row>
    <row r="284" spans="1:10" x14ac:dyDescent="0.3">
      <c r="A284" t="s">
        <v>472</v>
      </c>
      <c r="B284" t="s">
        <v>247</v>
      </c>
      <c r="C284" t="s">
        <v>40</v>
      </c>
      <c r="D284" s="1">
        <v>45419</v>
      </c>
      <c r="E284" t="s">
        <v>37</v>
      </c>
      <c r="F284" t="s">
        <v>32</v>
      </c>
      <c r="G284">
        <v>26806.47</v>
      </c>
      <c r="H284">
        <v>30000</v>
      </c>
      <c r="I284">
        <v>-3193.53</v>
      </c>
      <c r="J284">
        <v>-11.913281</v>
      </c>
    </row>
    <row r="285" spans="1:10" x14ac:dyDescent="0.3">
      <c r="A285" t="s">
        <v>473</v>
      </c>
      <c r="B285" t="s">
        <v>152</v>
      </c>
      <c r="C285" t="s">
        <v>17</v>
      </c>
      <c r="D285" s="1">
        <v>45423</v>
      </c>
      <c r="E285" t="s">
        <v>37</v>
      </c>
      <c r="F285" t="s">
        <v>19</v>
      </c>
      <c r="G285">
        <v>14787.97</v>
      </c>
      <c r="H285">
        <v>12000</v>
      </c>
      <c r="I285">
        <v>2787.97</v>
      </c>
      <c r="J285">
        <v>18.852959999999999</v>
      </c>
    </row>
    <row r="286" spans="1:10" x14ac:dyDescent="0.3">
      <c r="A286" t="s">
        <v>474</v>
      </c>
      <c r="B286" t="s">
        <v>186</v>
      </c>
      <c r="C286" t="s">
        <v>64</v>
      </c>
      <c r="D286" s="1">
        <v>45332</v>
      </c>
      <c r="E286" t="s">
        <v>49</v>
      </c>
      <c r="F286" t="s">
        <v>14</v>
      </c>
      <c r="G286">
        <v>32785.839999999997</v>
      </c>
      <c r="H286">
        <v>500</v>
      </c>
      <c r="I286">
        <v>32285.84</v>
      </c>
      <c r="J286">
        <v>98.474951000000004</v>
      </c>
    </row>
    <row r="287" spans="1:10" x14ac:dyDescent="0.3">
      <c r="A287" t="s">
        <v>475</v>
      </c>
      <c r="B287" t="s">
        <v>402</v>
      </c>
      <c r="C287" t="s">
        <v>64</v>
      </c>
      <c r="D287" s="1">
        <v>45506</v>
      </c>
      <c r="E287" t="s">
        <v>47</v>
      </c>
      <c r="F287" t="s">
        <v>32</v>
      </c>
      <c r="G287">
        <v>50139.98</v>
      </c>
      <c r="H287">
        <v>30000</v>
      </c>
      <c r="I287">
        <v>20139.98</v>
      </c>
      <c r="J287">
        <v>40.167507000000001</v>
      </c>
    </row>
    <row r="288" spans="1:10" x14ac:dyDescent="0.3">
      <c r="A288" t="s">
        <v>476</v>
      </c>
      <c r="B288" t="s">
        <v>56</v>
      </c>
      <c r="C288" t="s">
        <v>40</v>
      </c>
      <c r="D288" s="1">
        <v>45427</v>
      </c>
      <c r="E288" t="s">
        <v>37</v>
      </c>
      <c r="F288" t="s">
        <v>32</v>
      </c>
      <c r="G288">
        <v>24006.639999999999</v>
      </c>
      <c r="H288">
        <v>30000</v>
      </c>
      <c r="I288">
        <v>-5993.36</v>
      </c>
      <c r="J288">
        <v>-24.965426000000001</v>
      </c>
    </row>
    <row r="289" spans="1:10" x14ac:dyDescent="0.3">
      <c r="A289" t="s">
        <v>477</v>
      </c>
      <c r="B289" t="s">
        <v>478</v>
      </c>
      <c r="C289" t="s">
        <v>12</v>
      </c>
      <c r="D289" s="1">
        <v>45621</v>
      </c>
      <c r="E289" t="s">
        <v>57</v>
      </c>
      <c r="F289" t="s">
        <v>14</v>
      </c>
      <c r="G289">
        <v>10284.65</v>
      </c>
      <c r="H289">
        <v>500</v>
      </c>
      <c r="I289">
        <v>9784.65</v>
      </c>
      <c r="J289">
        <v>95.138385999999997</v>
      </c>
    </row>
    <row r="290" spans="1:10" x14ac:dyDescent="0.3">
      <c r="A290" t="s">
        <v>479</v>
      </c>
      <c r="B290" t="s">
        <v>56</v>
      </c>
      <c r="C290" t="s">
        <v>40</v>
      </c>
      <c r="D290" s="1">
        <v>45294</v>
      </c>
      <c r="E290" t="s">
        <v>44</v>
      </c>
      <c r="F290" t="s">
        <v>19</v>
      </c>
      <c r="G290">
        <v>20753.48</v>
      </c>
      <c r="H290">
        <v>12000</v>
      </c>
      <c r="I290">
        <v>8753.48</v>
      </c>
      <c r="J290">
        <v>42.178372000000003</v>
      </c>
    </row>
    <row r="291" spans="1:10" x14ac:dyDescent="0.3">
      <c r="A291" t="s">
        <v>480</v>
      </c>
      <c r="B291" t="s">
        <v>481</v>
      </c>
      <c r="C291" t="s">
        <v>64</v>
      </c>
      <c r="D291" s="1">
        <v>45550</v>
      </c>
      <c r="E291" t="s">
        <v>24</v>
      </c>
      <c r="F291" t="s">
        <v>28</v>
      </c>
      <c r="G291">
        <v>46719.81</v>
      </c>
      <c r="H291">
        <v>2000</v>
      </c>
      <c r="I291">
        <v>44719.81</v>
      </c>
      <c r="J291">
        <v>95.719161</v>
      </c>
    </row>
    <row r="292" spans="1:10" x14ac:dyDescent="0.3">
      <c r="A292" t="s">
        <v>482</v>
      </c>
      <c r="B292" t="s">
        <v>339</v>
      </c>
      <c r="C292" t="s">
        <v>12</v>
      </c>
      <c r="D292" s="1">
        <v>45487</v>
      </c>
      <c r="E292" t="s">
        <v>31</v>
      </c>
      <c r="F292" t="s">
        <v>32</v>
      </c>
      <c r="G292">
        <v>3124.4</v>
      </c>
      <c r="H292">
        <v>30000</v>
      </c>
      <c r="I292">
        <v>-26875.599999999999</v>
      </c>
      <c r="J292">
        <v>-860.18435499999998</v>
      </c>
    </row>
    <row r="293" spans="1:10" x14ac:dyDescent="0.3">
      <c r="A293" t="s">
        <v>483</v>
      </c>
      <c r="B293" t="s">
        <v>66</v>
      </c>
      <c r="C293" t="s">
        <v>40</v>
      </c>
      <c r="D293" s="1">
        <v>45399</v>
      </c>
      <c r="E293" t="s">
        <v>27</v>
      </c>
      <c r="F293" t="s">
        <v>14</v>
      </c>
      <c r="G293">
        <v>40076.32</v>
      </c>
      <c r="H293">
        <v>500</v>
      </c>
      <c r="I293">
        <v>39576.32</v>
      </c>
      <c r="J293">
        <v>98.752380000000002</v>
      </c>
    </row>
    <row r="294" spans="1:10" x14ac:dyDescent="0.3">
      <c r="A294" t="s">
        <v>484</v>
      </c>
      <c r="B294" t="s">
        <v>459</v>
      </c>
      <c r="C294" t="s">
        <v>64</v>
      </c>
      <c r="D294" s="1">
        <v>45467</v>
      </c>
      <c r="E294" t="s">
        <v>41</v>
      </c>
      <c r="F294" t="s">
        <v>32</v>
      </c>
      <c r="G294">
        <v>37847.83</v>
      </c>
      <c r="H294">
        <v>30000</v>
      </c>
      <c r="I294">
        <v>7847.83</v>
      </c>
      <c r="J294">
        <v>20.735218</v>
      </c>
    </row>
    <row r="295" spans="1:10" x14ac:dyDescent="0.3">
      <c r="A295" t="s">
        <v>485</v>
      </c>
      <c r="B295" t="s">
        <v>486</v>
      </c>
      <c r="C295" t="s">
        <v>40</v>
      </c>
      <c r="D295" s="1">
        <v>45400</v>
      </c>
      <c r="E295" t="s">
        <v>27</v>
      </c>
      <c r="F295" t="s">
        <v>14</v>
      </c>
      <c r="G295">
        <v>21508.53</v>
      </c>
      <c r="H295">
        <v>500</v>
      </c>
      <c r="I295">
        <v>21008.53</v>
      </c>
      <c r="J295">
        <v>97.675341000000003</v>
      </c>
    </row>
    <row r="296" spans="1:10" x14ac:dyDescent="0.3">
      <c r="A296" t="s">
        <v>487</v>
      </c>
      <c r="B296" t="s">
        <v>86</v>
      </c>
      <c r="C296" t="s">
        <v>40</v>
      </c>
      <c r="D296" s="1">
        <v>45308</v>
      </c>
      <c r="E296" t="s">
        <v>44</v>
      </c>
      <c r="F296" t="s">
        <v>19</v>
      </c>
      <c r="G296">
        <v>12557.4</v>
      </c>
      <c r="H296">
        <v>12000</v>
      </c>
      <c r="I296">
        <v>557.4</v>
      </c>
      <c r="J296">
        <v>4.4388170000000002</v>
      </c>
    </row>
    <row r="297" spans="1:10" x14ac:dyDescent="0.3">
      <c r="A297" t="s">
        <v>488</v>
      </c>
      <c r="B297" t="s">
        <v>489</v>
      </c>
      <c r="C297" t="s">
        <v>40</v>
      </c>
      <c r="D297" s="1">
        <v>45541</v>
      </c>
      <c r="E297" t="s">
        <v>24</v>
      </c>
      <c r="F297" t="s">
        <v>14</v>
      </c>
      <c r="G297">
        <v>30097.26</v>
      </c>
      <c r="H297">
        <v>500</v>
      </c>
      <c r="I297">
        <v>29597.26</v>
      </c>
      <c r="J297">
        <v>98.338718999999998</v>
      </c>
    </row>
    <row r="298" spans="1:10" x14ac:dyDescent="0.3">
      <c r="A298" t="s">
        <v>490</v>
      </c>
      <c r="B298" t="s">
        <v>428</v>
      </c>
      <c r="C298" t="s">
        <v>64</v>
      </c>
      <c r="D298" s="1">
        <v>45639</v>
      </c>
      <c r="E298" t="s">
        <v>95</v>
      </c>
      <c r="F298" t="s">
        <v>19</v>
      </c>
      <c r="G298">
        <v>26508.79</v>
      </c>
      <c r="H298">
        <v>12000</v>
      </c>
      <c r="I298">
        <v>14508.79</v>
      </c>
      <c r="J298">
        <v>54.731996000000002</v>
      </c>
    </row>
    <row r="299" spans="1:10" x14ac:dyDescent="0.3">
      <c r="A299" t="s">
        <v>491</v>
      </c>
      <c r="B299" t="s">
        <v>86</v>
      </c>
      <c r="C299" t="s">
        <v>40</v>
      </c>
      <c r="D299" s="1">
        <v>45311</v>
      </c>
      <c r="E299" t="s">
        <v>44</v>
      </c>
      <c r="F299" t="s">
        <v>19</v>
      </c>
      <c r="G299">
        <v>21329.21</v>
      </c>
      <c r="H299">
        <v>12000</v>
      </c>
      <c r="I299">
        <v>9329.2099999999991</v>
      </c>
      <c r="J299">
        <v>43.739125999999999</v>
      </c>
    </row>
    <row r="300" spans="1:10" x14ac:dyDescent="0.3">
      <c r="A300" t="s">
        <v>492</v>
      </c>
      <c r="B300" t="s">
        <v>237</v>
      </c>
      <c r="C300" t="s">
        <v>40</v>
      </c>
      <c r="D300" s="1">
        <v>45586</v>
      </c>
      <c r="E300" t="s">
        <v>13</v>
      </c>
      <c r="F300" t="s">
        <v>28</v>
      </c>
      <c r="G300">
        <v>3447.29</v>
      </c>
      <c r="H300">
        <v>2000</v>
      </c>
      <c r="I300">
        <v>1447.29</v>
      </c>
      <c r="J300">
        <v>41.983412999999999</v>
      </c>
    </row>
    <row r="301" spans="1:10" x14ac:dyDescent="0.3">
      <c r="A301" t="s">
        <v>493</v>
      </c>
      <c r="B301" t="s">
        <v>328</v>
      </c>
      <c r="C301" t="s">
        <v>40</v>
      </c>
      <c r="D301" s="1">
        <v>45553</v>
      </c>
      <c r="E301" t="s">
        <v>24</v>
      </c>
      <c r="F301" t="s">
        <v>14</v>
      </c>
      <c r="G301">
        <v>36264.370000000003</v>
      </c>
      <c r="H301">
        <v>500</v>
      </c>
      <c r="I301">
        <v>35764.370000000003</v>
      </c>
      <c r="J301">
        <v>98.621235999999996</v>
      </c>
    </row>
    <row r="302" spans="1:10" x14ac:dyDescent="0.3">
      <c r="A302" t="s">
        <v>494</v>
      </c>
      <c r="B302" t="s">
        <v>68</v>
      </c>
      <c r="C302" t="s">
        <v>40</v>
      </c>
      <c r="D302" s="1">
        <v>45573</v>
      </c>
      <c r="E302" t="s">
        <v>13</v>
      </c>
      <c r="F302" t="s">
        <v>19</v>
      </c>
      <c r="G302">
        <v>36762.160000000003</v>
      </c>
      <c r="H302">
        <v>12000</v>
      </c>
      <c r="I302">
        <v>24762.16</v>
      </c>
      <c r="J302">
        <v>67.357740000000007</v>
      </c>
    </row>
    <row r="303" spans="1:10" x14ac:dyDescent="0.3">
      <c r="A303" t="s">
        <v>495</v>
      </c>
      <c r="B303" t="s">
        <v>412</v>
      </c>
      <c r="C303" t="s">
        <v>64</v>
      </c>
      <c r="D303" s="1">
        <v>45648</v>
      </c>
      <c r="E303" t="s">
        <v>95</v>
      </c>
      <c r="F303" t="s">
        <v>19</v>
      </c>
      <c r="G303">
        <v>46440.7</v>
      </c>
      <c r="H303">
        <v>12000</v>
      </c>
      <c r="I303">
        <v>34440.699999999997</v>
      </c>
      <c r="J303">
        <v>74.160595999999998</v>
      </c>
    </row>
    <row r="304" spans="1:10" x14ac:dyDescent="0.3">
      <c r="A304" t="s">
        <v>496</v>
      </c>
      <c r="B304" t="s">
        <v>497</v>
      </c>
      <c r="C304" t="s">
        <v>64</v>
      </c>
      <c r="D304" s="1">
        <v>45626</v>
      </c>
      <c r="E304" t="s">
        <v>57</v>
      </c>
      <c r="F304" t="s">
        <v>28</v>
      </c>
      <c r="G304">
        <v>1335.38</v>
      </c>
      <c r="H304">
        <v>2000</v>
      </c>
      <c r="I304">
        <v>-664.62</v>
      </c>
      <c r="J304">
        <v>-49.770102999999999</v>
      </c>
    </row>
    <row r="305" spans="1:10" x14ac:dyDescent="0.3">
      <c r="A305" t="s">
        <v>498</v>
      </c>
      <c r="B305" t="s">
        <v>297</v>
      </c>
      <c r="C305" t="s">
        <v>17</v>
      </c>
      <c r="D305" s="1">
        <v>45334</v>
      </c>
      <c r="E305" t="s">
        <v>49</v>
      </c>
      <c r="F305" t="s">
        <v>19</v>
      </c>
      <c r="G305">
        <v>19100.150000000001</v>
      </c>
      <c r="H305">
        <v>12000</v>
      </c>
      <c r="I305">
        <v>7100.15</v>
      </c>
      <c r="J305">
        <v>37.173268</v>
      </c>
    </row>
    <row r="306" spans="1:10" x14ac:dyDescent="0.3">
      <c r="A306" t="s">
        <v>499</v>
      </c>
      <c r="B306" t="s">
        <v>306</v>
      </c>
      <c r="C306" t="s">
        <v>12</v>
      </c>
      <c r="D306" s="1">
        <v>45524</v>
      </c>
      <c r="E306" t="s">
        <v>47</v>
      </c>
      <c r="F306" t="s">
        <v>32</v>
      </c>
      <c r="G306">
        <v>32729.35</v>
      </c>
      <c r="H306">
        <v>30000</v>
      </c>
      <c r="I306">
        <v>2729.35</v>
      </c>
      <c r="J306">
        <v>8.3391509999999993</v>
      </c>
    </row>
    <row r="307" spans="1:10" x14ac:dyDescent="0.3">
      <c r="A307" t="s">
        <v>500</v>
      </c>
      <c r="B307" t="s">
        <v>501</v>
      </c>
      <c r="C307" t="s">
        <v>17</v>
      </c>
      <c r="D307" s="1">
        <v>45625</v>
      </c>
      <c r="E307" t="s">
        <v>57</v>
      </c>
      <c r="F307" t="s">
        <v>32</v>
      </c>
      <c r="G307">
        <v>18960.23</v>
      </c>
      <c r="H307">
        <v>30000</v>
      </c>
      <c r="I307">
        <v>-11039.77</v>
      </c>
      <c r="J307">
        <v>-58.225929000000001</v>
      </c>
    </row>
    <row r="308" spans="1:10" x14ac:dyDescent="0.3">
      <c r="A308" t="s">
        <v>502</v>
      </c>
      <c r="B308" t="s">
        <v>503</v>
      </c>
      <c r="C308" t="s">
        <v>40</v>
      </c>
      <c r="D308" s="1">
        <v>45502</v>
      </c>
      <c r="E308" t="s">
        <v>31</v>
      </c>
      <c r="F308" t="s">
        <v>28</v>
      </c>
      <c r="G308">
        <v>47612.02</v>
      </c>
      <c r="H308">
        <v>2000</v>
      </c>
      <c r="I308">
        <v>45612.02</v>
      </c>
      <c r="J308">
        <v>95.799379999999999</v>
      </c>
    </row>
    <row r="309" spans="1:10" x14ac:dyDescent="0.3">
      <c r="A309" t="s">
        <v>504</v>
      </c>
      <c r="B309" t="s">
        <v>505</v>
      </c>
      <c r="C309" t="s">
        <v>40</v>
      </c>
      <c r="D309" s="1">
        <v>45389</v>
      </c>
      <c r="E309" t="s">
        <v>27</v>
      </c>
      <c r="F309" t="s">
        <v>32</v>
      </c>
      <c r="G309">
        <v>4891.21</v>
      </c>
      <c r="H309">
        <v>30000</v>
      </c>
      <c r="I309">
        <v>-25108.79</v>
      </c>
      <c r="J309">
        <v>-513.34516399999995</v>
      </c>
    </row>
    <row r="310" spans="1:10" x14ac:dyDescent="0.3">
      <c r="A310" t="s">
        <v>506</v>
      </c>
      <c r="B310" t="s">
        <v>76</v>
      </c>
      <c r="C310" t="s">
        <v>17</v>
      </c>
      <c r="D310" s="1">
        <v>45517</v>
      </c>
      <c r="E310" t="s">
        <v>47</v>
      </c>
      <c r="F310" t="s">
        <v>19</v>
      </c>
      <c r="G310">
        <v>29315.87</v>
      </c>
      <c r="H310">
        <v>12000</v>
      </c>
      <c r="I310">
        <v>17315.87</v>
      </c>
      <c r="J310">
        <v>59.066540000000003</v>
      </c>
    </row>
    <row r="311" spans="1:10" x14ac:dyDescent="0.3">
      <c r="A311" t="s">
        <v>507</v>
      </c>
      <c r="B311" t="s">
        <v>396</v>
      </c>
      <c r="C311" t="s">
        <v>64</v>
      </c>
      <c r="D311" s="1">
        <v>45617</v>
      </c>
      <c r="E311" t="s">
        <v>57</v>
      </c>
      <c r="F311" t="s">
        <v>19</v>
      </c>
      <c r="G311">
        <v>36842.720000000001</v>
      </c>
      <c r="H311">
        <v>12000</v>
      </c>
      <c r="I311">
        <v>24842.720000000001</v>
      </c>
      <c r="J311">
        <v>67.429114999999996</v>
      </c>
    </row>
    <row r="312" spans="1:10" x14ac:dyDescent="0.3">
      <c r="A312" t="s">
        <v>508</v>
      </c>
      <c r="B312" t="s">
        <v>503</v>
      </c>
      <c r="C312" t="s">
        <v>40</v>
      </c>
      <c r="D312" s="1">
        <v>45487</v>
      </c>
      <c r="E312" t="s">
        <v>31</v>
      </c>
      <c r="F312" t="s">
        <v>19</v>
      </c>
      <c r="G312">
        <v>3751.08</v>
      </c>
      <c r="H312">
        <v>12000</v>
      </c>
      <c r="I312">
        <v>-8248.92</v>
      </c>
      <c r="J312">
        <v>-219.90786700000001</v>
      </c>
    </row>
    <row r="313" spans="1:10" x14ac:dyDescent="0.3">
      <c r="A313" t="s">
        <v>509</v>
      </c>
      <c r="B313" t="s">
        <v>510</v>
      </c>
      <c r="C313" t="s">
        <v>12</v>
      </c>
      <c r="D313" s="1">
        <v>45314</v>
      </c>
      <c r="E313" t="s">
        <v>44</v>
      </c>
      <c r="F313" t="s">
        <v>32</v>
      </c>
      <c r="G313">
        <v>14569.59</v>
      </c>
      <c r="H313">
        <v>30000</v>
      </c>
      <c r="I313">
        <v>-15430.41</v>
      </c>
      <c r="J313">
        <v>-105.908334</v>
      </c>
    </row>
    <row r="314" spans="1:10" x14ac:dyDescent="0.3">
      <c r="A314" t="s">
        <v>511</v>
      </c>
      <c r="B314" t="s">
        <v>34</v>
      </c>
      <c r="C314" t="s">
        <v>12</v>
      </c>
      <c r="D314" s="1">
        <v>45511</v>
      </c>
      <c r="E314" t="s">
        <v>47</v>
      </c>
      <c r="F314" t="s">
        <v>28</v>
      </c>
      <c r="G314">
        <v>13136.41</v>
      </c>
      <c r="H314">
        <v>2000</v>
      </c>
      <c r="I314">
        <v>11136.41</v>
      </c>
      <c r="J314">
        <v>84.775139999999993</v>
      </c>
    </row>
    <row r="315" spans="1:10" x14ac:dyDescent="0.3">
      <c r="A315" t="s">
        <v>512</v>
      </c>
      <c r="B315" t="s">
        <v>145</v>
      </c>
      <c r="C315" t="s">
        <v>40</v>
      </c>
      <c r="D315" s="1">
        <v>45547</v>
      </c>
      <c r="E315" t="s">
        <v>24</v>
      </c>
      <c r="F315" t="s">
        <v>19</v>
      </c>
      <c r="G315">
        <v>20295.650000000001</v>
      </c>
      <c r="H315">
        <v>12000</v>
      </c>
      <c r="I315">
        <v>8295.65</v>
      </c>
      <c r="J315">
        <v>40.874029999999998</v>
      </c>
    </row>
    <row r="316" spans="1:10" x14ac:dyDescent="0.3">
      <c r="A316" t="s">
        <v>513</v>
      </c>
      <c r="B316" t="s">
        <v>174</v>
      </c>
      <c r="C316" t="s">
        <v>12</v>
      </c>
      <c r="D316" s="1">
        <v>45624</v>
      </c>
      <c r="E316" t="s">
        <v>57</v>
      </c>
      <c r="F316" t="s">
        <v>14</v>
      </c>
      <c r="G316">
        <v>28435.96</v>
      </c>
      <c r="H316">
        <v>500</v>
      </c>
      <c r="I316">
        <v>27935.96</v>
      </c>
      <c r="J316">
        <v>98.241663000000003</v>
      </c>
    </row>
    <row r="317" spans="1:10" x14ac:dyDescent="0.3">
      <c r="A317" t="s">
        <v>514</v>
      </c>
      <c r="B317" t="s">
        <v>70</v>
      </c>
      <c r="C317" t="s">
        <v>64</v>
      </c>
      <c r="D317" s="1">
        <v>45443</v>
      </c>
      <c r="E317" t="s">
        <v>37</v>
      </c>
      <c r="F317" t="s">
        <v>14</v>
      </c>
      <c r="G317">
        <v>45703.01</v>
      </c>
      <c r="H317">
        <v>500</v>
      </c>
      <c r="I317">
        <v>45203.01</v>
      </c>
      <c r="J317">
        <v>98.90598</v>
      </c>
    </row>
    <row r="318" spans="1:10" x14ac:dyDescent="0.3">
      <c r="A318" t="s">
        <v>515</v>
      </c>
      <c r="B318" t="s">
        <v>351</v>
      </c>
      <c r="C318" t="s">
        <v>40</v>
      </c>
      <c r="D318" s="1">
        <v>45349</v>
      </c>
      <c r="E318" t="s">
        <v>49</v>
      </c>
      <c r="F318" t="s">
        <v>19</v>
      </c>
      <c r="G318">
        <v>36500.629999999997</v>
      </c>
      <c r="H318">
        <v>12000</v>
      </c>
      <c r="I318">
        <v>24500.63</v>
      </c>
      <c r="J318">
        <v>67.123855000000006</v>
      </c>
    </row>
    <row r="319" spans="1:10" x14ac:dyDescent="0.3">
      <c r="A319" t="s">
        <v>516</v>
      </c>
      <c r="B319" t="s">
        <v>193</v>
      </c>
      <c r="C319" t="s">
        <v>17</v>
      </c>
      <c r="D319" s="1">
        <v>45443</v>
      </c>
      <c r="E319" t="s">
        <v>37</v>
      </c>
      <c r="F319" t="s">
        <v>19</v>
      </c>
      <c r="G319">
        <v>17099.009999999998</v>
      </c>
      <c r="H319">
        <v>12000</v>
      </c>
      <c r="I319">
        <v>5099.01</v>
      </c>
      <c r="J319">
        <v>29.820498000000001</v>
      </c>
    </row>
    <row r="320" spans="1:10" x14ac:dyDescent="0.3">
      <c r="A320" t="s">
        <v>517</v>
      </c>
      <c r="B320" t="s">
        <v>478</v>
      </c>
      <c r="C320" t="s">
        <v>12</v>
      </c>
      <c r="D320" s="1">
        <v>45563</v>
      </c>
      <c r="E320" t="s">
        <v>24</v>
      </c>
      <c r="F320" t="s">
        <v>14</v>
      </c>
      <c r="G320">
        <v>35887.35</v>
      </c>
      <c r="H320">
        <v>500</v>
      </c>
      <c r="I320">
        <v>35387.35</v>
      </c>
      <c r="J320">
        <v>98.606751000000003</v>
      </c>
    </row>
    <row r="321" spans="1:10" x14ac:dyDescent="0.3">
      <c r="A321" t="s">
        <v>518</v>
      </c>
      <c r="B321" t="s">
        <v>109</v>
      </c>
      <c r="C321" t="s">
        <v>40</v>
      </c>
      <c r="D321" s="1">
        <v>45300</v>
      </c>
      <c r="E321" t="s">
        <v>44</v>
      </c>
      <c r="F321" t="s">
        <v>14</v>
      </c>
      <c r="G321">
        <v>13277.35</v>
      </c>
      <c r="H321">
        <v>500</v>
      </c>
      <c r="I321">
        <v>12777.35</v>
      </c>
      <c r="J321">
        <v>96.234188000000003</v>
      </c>
    </row>
    <row r="322" spans="1:10" x14ac:dyDescent="0.3">
      <c r="A322" t="s">
        <v>519</v>
      </c>
      <c r="B322" t="s">
        <v>441</v>
      </c>
      <c r="C322" t="s">
        <v>17</v>
      </c>
      <c r="D322" s="1">
        <v>45370</v>
      </c>
      <c r="E322" t="s">
        <v>18</v>
      </c>
      <c r="F322" t="s">
        <v>32</v>
      </c>
      <c r="G322">
        <v>47961.81</v>
      </c>
      <c r="H322">
        <v>30000</v>
      </c>
      <c r="I322">
        <v>17961.810000000001</v>
      </c>
      <c r="J322">
        <v>37.450234000000002</v>
      </c>
    </row>
    <row r="323" spans="1:10" x14ac:dyDescent="0.3">
      <c r="A323" t="s">
        <v>520</v>
      </c>
      <c r="B323" t="s">
        <v>428</v>
      </c>
      <c r="C323" t="s">
        <v>64</v>
      </c>
      <c r="D323" s="1">
        <v>45397</v>
      </c>
      <c r="E323" t="s">
        <v>27</v>
      </c>
      <c r="F323" t="s">
        <v>32</v>
      </c>
      <c r="G323">
        <v>1783.79</v>
      </c>
      <c r="H323">
        <v>30000</v>
      </c>
      <c r="I323">
        <v>-28216.21</v>
      </c>
      <c r="J323">
        <v>-1581.8123210000001</v>
      </c>
    </row>
    <row r="324" spans="1:10" x14ac:dyDescent="0.3">
      <c r="A324" t="s">
        <v>521</v>
      </c>
      <c r="B324" t="s">
        <v>363</v>
      </c>
      <c r="C324" t="s">
        <v>40</v>
      </c>
      <c r="D324" s="1">
        <v>45513</v>
      </c>
      <c r="E324" t="s">
        <v>47</v>
      </c>
      <c r="F324" t="s">
        <v>19</v>
      </c>
      <c r="G324">
        <v>10876.74</v>
      </c>
      <c r="H324">
        <v>12000</v>
      </c>
      <c r="I324">
        <v>-1123.26</v>
      </c>
      <c r="J324">
        <v>-10.327175</v>
      </c>
    </row>
    <row r="325" spans="1:10" x14ac:dyDescent="0.3">
      <c r="A325" t="s">
        <v>522</v>
      </c>
      <c r="B325" t="s">
        <v>523</v>
      </c>
      <c r="C325" t="s">
        <v>64</v>
      </c>
      <c r="D325" s="1">
        <v>45642</v>
      </c>
      <c r="E325" t="s">
        <v>95</v>
      </c>
      <c r="F325" t="s">
        <v>19</v>
      </c>
      <c r="G325">
        <v>44238.47</v>
      </c>
      <c r="H325">
        <v>12000</v>
      </c>
      <c r="I325">
        <v>32238.47</v>
      </c>
      <c r="J325">
        <v>72.874288000000007</v>
      </c>
    </row>
    <row r="326" spans="1:10" x14ac:dyDescent="0.3">
      <c r="A326" t="s">
        <v>524</v>
      </c>
      <c r="B326" t="s">
        <v>288</v>
      </c>
      <c r="C326" t="s">
        <v>17</v>
      </c>
      <c r="D326" s="1">
        <v>45613</v>
      </c>
      <c r="E326" t="s">
        <v>57</v>
      </c>
      <c r="F326" t="s">
        <v>19</v>
      </c>
      <c r="G326">
        <v>43195.47</v>
      </c>
      <c r="H326">
        <v>12000</v>
      </c>
      <c r="I326">
        <v>31195.47</v>
      </c>
      <c r="J326">
        <v>72.219308999999996</v>
      </c>
    </row>
    <row r="327" spans="1:10" x14ac:dyDescent="0.3">
      <c r="A327" t="s">
        <v>525</v>
      </c>
      <c r="B327" t="s">
        <v>103</v>
      </c>
      <c r="C327" t="s">
        <v>12</v>
      </c>
      <c r="D327" s="1">
        <v>45367</v>
      </c>
      <c r="E327" t="s">
        <v>18</v>
      </c>
      <c r="F327" t="s">
        <v>32</v>
      </c>
      <c r="G327">
        <v>47869.45</v>
      </c>
      <c r="H327">
        <v>30000</v>
      </c>
      <c r="I327">
        <v>17869.45</v>
      </c>
      <c r="J327">
        <v>37.329549</v>
      </c>
    </row>
    <row r="328" spans="1:10" x14ac:dyDescent="0.3">
      <c r="A328" t="s">
        <v>526</v>
      </c>
      <c r="B328" t="s">
        <v>68</v>
      </c>
      <c r="C328" t="s">
        <v>40</v>
      </c>
      <c r="D328" s="1">
        <v>45493</v>
      </c>
      <c r="E328" t="s">
        <v>31</v>
      </c>
      <c r="F328" t="s">
        <v>19</v>
      </c>
      <c r="G328">
        <v>45440.7</v>
      </c>
      <c r="H328">
        <v>12000</v>
      </c>
      <c r="I328">
        <v>33440.699999999997</v>
      </c>
      <c r="J328">
        <v>73.591955999999996</v>
      </c>
    </row>
    <row r="329" spans="1:10" x14ac:dyDescent="0.3">
      <c r="A329" t="s">
        <v>527</v>
      </c>
      <c r="B329" t="s">
        <v>528</v>
      </c>
      <c r="C329" t="s">
        <v>17</v>
      </c>
      <c r="D329" s="1">
        <v>45610</v>
      </c>
      <c r="E329" t="s">
        <v>57</v>
      </c>
      <c r="F329" t="s">
        <v>32</v>
      </c>
      <c r="G329">
        <v>27251.65</v>
      </c>
      <c r="H329">
        <v>30000</v>
      </c>
      <c r="I329">
        <v>-2748.35</v>
      </c>
      <c r="J329">
        <v>-10.085077</v>
      </c>
    </row>
    <row r="330" spans="1:10" x14ac:dyDescent="0.3">
      <c r="A330" t="s">
        <v>529</v>
      </c>
      <c r="B330" t="s">
        <v>103</v>
      </c>
      <c r="C330" t="s">
        <v>12</v>
      </c>
      <c r="D330" s="1">
        <v>45580</v>
      </c>
      <c r="E330" t="s">
        <v>13</v>
      </c>
      <c r="F330" t="s">
        <v>32</v>
      </c>
      <c r="G330">
        <v>38591.760000000002</v>
      </c>
      <c r="H330">
        <v>30000</v>
      </c>
      <c r="I330">
        <v>8591.76</v>
      </c>
      <c r="J330">
        <v>22.263197999999999</v>
      </c>
    </row>
    <row r="331" spans="1:10" x14ac:dyDescent="0.3">
      <c r="A331" t="s">
        <v>530</v>
      </c>
      <c r="B331" t="s">
        <v>172</v>
      </c>
      <c r="C331" t="s">
        <v>40</v>
      </c>
      <c r="D331" s="1">
        <v>45527</v>
      </c>
      <c r="E331" t="s">
        <v>47</v>
      </c>
      <c r="F331" t="s">
        <v>32</v>
      </c>
      <c r="G331">
        <v>35204.99</v>
      </c>
      <c r="H331">
        <v>30000</v>
      </c>
      <c r="I331">
        <v>5204.99</v>
      </c>
      <c r="J331">
        <v>14.784807000000001</v>
      </c>
    </row>
    <row r="332" spans="1:10" x14ac:dyDescent="0.3">
      <c r="A332" t="s">
        <v>531</v>
      </c>
      <c r="B332" t="s">
        <v>532</v>
      </c>
      <c r="C332" t="s">
        <v>12</v>
      </c>
      <c r="D332" s="1">
        <v>45512</v>
      </c>
      <c r="E332" t="s">
        <v>47</v>
      </c>
      <c r="F332" t="s">
        <v>14</v>
      </c>
      <c r="G332">
        <v>34064.33</v>
      </c>
      <c r="H332">
        <v>500</v>
      </c>
      <c r="I332">
        <v>33564.33</v>
      </c>
      <c r="J332">
        <v>98.532189000000002</v>
      </c>
    </row>
    <row r="333" spans="1:10" x14ac:dyDescent="0.3">
      <c r="A333" t="s">
        <v>533</v>
      </c>
      <c r="B333" t="s">
        <v>103</v>
      </c>
      <c r="C333" t="s">
        <v>12</v>
      </c>
      <c r="D333" s="1">
        <v>45492</v>
      </c>
      <c r="E333" t="s">
        <v>31</v>
      </c>
      <c r="F333" t="s">
        <v>14</v>
      </c>
      <c r="G333">
        <v>24569.4</v>
      </c>
      <c r="H333">
        <v>500</v>
      </c>
      <c r="I333">
        <v>24069.4</v>
      </c>
      <c r="J333">
        <v>97.964948000000007</v>
      </c>
    </row>
    <row r="334" spans="1:10" x14ac:dyDescent="0.3">
      <c r="A334" t="s">
        <v>534</v>
      </c>
      <c r="B334" t="s">
        <v>21</v>
      </c>
      <c r="C334" t="s">
        <v>17</v>
      </c>
      <c r="D334" s="1">
        <v>45354</v>
      </c>
      <c r="E334" t="s">
        <v>18</v>
      </c>
      <c r="F334" t="s">
        <v>19</v>
      </c>
      <c r="G334">
        <v>46731.4</v>
      </c>
      <c r="H334">
        <v>12000</v>
      </c>
      <c r="I334">
        <v>34731.4</v>
      </c>
      <c r="J334">
        <v>74.321333999999993</v>
      </c>
    </row>
    <row r="335" spans="1:10" x14ac:dyDescent="0.3">
      <c r="A335" t="s">
        <v>535</v>
      </c>
      <c r="B335" t="s">
        <v>306</v>
      </c>
      <c r="C335" t="s">
        <v>12</v>
      </c>
      <c r="D335" s="1">
        <v>45593</v>
      </c>
      <c r="E335" t="s">
        <v>13</v>
      </c>
      <c r="F335" t="s">
        <v>32</v>
      </c>
      <c r="G335">
        <v>42950.44</v>
      </c>
      <c r="H335">
        <v>30000</v>
      </c>
      <c r="I335">
        <v>12950.44</v>
      </c>
      <c r="J335">
        <v>30.152054</v>
      </c>
    </row>
    <row r="336" spans="1:10" x14ac:dyDescent="0.3">
      <c r="A336" t="s">
        <v>536</v>
      </c>
      <c r="B336" t="s">
        <v>119</v>
      </c>
      <c r="C336" t="s">
        <v>12</v>
      </c>
      <c r="D336" s="1">
        <v>45427</v>
      </c>
      <c r="E336" t="s">
        <v>37</v>
      </c>
      <c r="F336" t="s">
        <v>28</v>
      </c>
      <c r="G336">
        <v>30666.95</v>
      </c>
      <c r="H336">
        <v>2000</v>
      </c>
      <c r="I336">
        <v>28666.95</v>
      </c>
      <c r="J336">
        <v>93.478320999999994</v>
      </c>
    </row>
    <row r="337" spans="1:10" x14ac:dyDescent="0.3">
      <c r="A337" t="s">
        <v>537</v>
      </c>
      <c r="B337" t="s">
        <v>204</v>
      </c>
      <c r="C337" t="s">
        <v>40</v>
      </c>
      <c r="D337" s="1">
        <v>45382</v>
      </c>
      <c r="E337" t="s">
        <v>18</v>
      </c>
      <c r="F337" t="s">
        <v>14</v>
      </c>
      <c r="G337">
        <v>31292.54</v>
      </c>
      <c r="H337">
        <v>500</v>
      </c>
      <c r="I337">
        <v>30792.54</v>
      </c>
      <c r="J337">
        <v>98.402175</v>
      </c>
    </row>
    <row r="338" spans="1:10" x14ac:dyDescent="0.3">
      <c r="A338" t="s">
        <v>538</v>
      </c>
      <c r="B338" t="s">
        <v>539</v>
      </c>
      <c r="C338" t="s">
        <v>64</v>
      </c>
      <c r="D338" s="1">
        <v>45656</v>
      </c>
      <c r="E338" t="s">
        <v>95</v>
      </c>
      <c r="F338" t="s">
        <v>28</v>
      </c>
      <c r="G338">
        <v>38931.519999999997</v>
      </c>
      <c r="H338">
        <v>2000</v>
      </c>
      <c r="I338">
        <v>36931.519999999997</v>
      </c>
      <c r="J338">
        <v>94.862774000000002</v>
      </c>
    </row>
    <row r="339" spans="1:10" x14ac:dyDescent="0.3">
      <c r="A339" t="s">
        <v>540</v>
      </c>
      <c r="B339" t="s">
        <v>94</v>
      </c>
      <c r="C339" t="s">
        <v>17</v>
      </c>
      <c r="D339" s="1">
        <v>45498</v>
      </c>
      <c r="E339" t="s">
        <v>31</v>
      </c>
      <c r="F339" t="s">
        <v>14</v>
      </c>
      <c r="G339">
        <v>4407.57</v>
      </c>
      <c r="H339">
        <v>500</v>
      </c>
      <c r="I339">
        <v>3907.57</v>
      </c>
      <c r="J339">
        <v>88.655880999999994</v>
      </c>
    </row>
    <row r="340" spans="1:10" x14ac:dyDescent="0.3">
      <c r="A340" t="s">
        <v>541</v>
      </c>
      <c r="B340" t="s">
        <v>396</v>
      </c>
      <c r="C340" t="s">
        <v>64</v>
      </c>
      <c r="D340" s="1">
        <v>45430</v>
      </c>
      <c r="E340" t="s">
        <v>37</v>
      </c>
      <c r="F340" t="s">
        <v>28</v>
      </c>
      <c r="G340">
        <v>25307.57</v>
      </c>
      <c r="H340">
        <v>2000</v>
      </c>
      <c r="I340">
        <v>23307.57</v>
      </c>
      <c r="J340">
        <v>92.097226000000006</v>
      </c>
    </row>
    <row r="341" spans="1:10" x14ac:dyDescent="0.3">
      <c r="A341" t="s">
        <v>542</v>
      </c>
      <c r="B341" t="s">
        <v>143</v>
      </c>
      <c r="C341" t="s">
        <v>64</v>
      </c>
      <c r="D341" s="1">
        <v>45340</v>
      </c>
      <c r="E341" t="s">
        <v>49</v>
      </c>
      <c r="F341" t="s">
        <v>28</v>
      </c>
      <c r="G341">
        <v>42128.65</v>
      </c>
      <c r="H341">
        <v>2000</v>
      </c>
      <c r="I341">
        <v>40128.65</v>
      </c>
      <c r="J341">
        <v>95.252636999999993</v>
      </c>
    </row>
    <row r="342" spans="1:10" x14ac:dyDescent="0.3">
      <c r="A342" t="s">
        <v>543</v>
      </c>
      <c r="B342" t="s">
        <v>94</v>
      </c>
      <c r="C342" t="s">
        <v>17</v>
      </c>
      <c r="D342" s="1">
        <v>45455</v>
      </c>
      <c r="E342" t="s">
        <v>41</v>
      </c>
      <c r="F342" t="s">
        <v>19</v>
      </c>
      <c r="G342">
        <v>24521.35</v>
      </c>
      <c r="H342">
        <v>12000</v>
      </c>
      <c r="I342">
        <v>12521.35</v>
      </c>
      <c r="J342">
        <v>51.063052999999996</v>
      </c>
    </row>
    <row r="343" spans="1:10" x14ac:dyDescent="0.3">
      <c r="A343" t="s">
        <v>544</v>
      </c>
      <c r="B343" t="s">
        <v>545</v>
      </c>
      <c r="C343" t="s">
        <v>40</v>
      </c>
      <c r="D343" s="1">
        <v>45505</v>
      </c>
      <c r="E343" t="s">
        <v>47</v>
      </c>
      <c r="F343" t="s">
        <v>28</v>
      </c>
      <c r="G343">
        <v>16229.72</v>
      </c>
      <c r="H343">
        <v>2000</v>
      </c>
      <c r="I343">
        <v>14229.72</v>
      </c>
      <c r="J343">
        <v>87.676928000000004</v>
      </c>
    </row>
    <row r="344" spans="1:10" x14ac:dyDescent="0.3">
      <c r="A344" t="s">
        <v>546</v>
      </c>
      <c r="B344" t="s">
        <v>101</v>
      </c>
      <c r="C344" t="s">
        <v>17</v>
      </c>
      <c r="D344" s="1">
        <v>45443</v>
      </c>
      <c r="E344" t="s">
        <v>37</v>
      </c>
      <c r="F344" t="s">
        <v>14</v>
      </c>
      <c r="G344">
        <v>14644.58</v>
      </c>
      <c r="H344">
        <v>500</v>
      </c>
      <c r="I344">
        <v>14144.58</v>
      </c>
      <c r="J344">
        <v>96.585768000000002</v>
      </c>
    </row>
    <row r="345" spans="1:10" x14ac:dyDescent="0.3">
      <c r="A345" t="s">
        <v>547</v>
      </c>
      <c r="B345" t="s">
        <v>261</v>
      </c>
      <c r="C345" t="s">
        <v>40</v>
      </c>
      <c r="D345" s="1">
        <v>45332</v>
      </c>
      <c r="E345" t="s">
        <v>49</v>
      </c>
      <c r="F345" t="s">
        <v>28</v>
      </c>
      <c r="G345">
        <v>41439.5</v>
      </c>
      <c r="H345">
        <v>2000</v>
      </c>
      <c r="I345">
        <v>39439.5</v>
      </c>
      <c r="J345">
        <v>95.173687000000001</v>
      </c>
    </row>
    <row r="346" spans="1:10" x14ac:dyDescent="0.3">
      <c r="A346" t="s">
        <v>548</v>
      </c>
      <c r="B346" t="s">
        <v>16</v>
      </c>
      <c r="C346" t="s">
        <v>17</v>
      </c>
      <c r="D346" s="1">
        <v>45365</v>
      </c>
      <c r="E346" t="s">
        <v>18</v>
      </c>
      <c r="F346" t="s">
        <v>19</v>
      </c>
      <c r="G346">
        <v>49136.160000000003</v>
      </c>
      <c r="H346">
        <v>12000</v>
      </c>
      <c r="I346">
        <v>37136.160000000003</v>
      </c>
      <c r="J346">
        <v>75.578067000000004</v>
      </c>
    </row>
    <row r="347" spans="1:10" x14ac:dyDescent="0.3">
      <c r="A347" t="s">
        <v>549</v>
      </c>
      <c r="B347" t="s">
        <v>550</v>
      </c>
      <c r="C347" t="s">
        <v>64</v>
      </c>
      <c r="D347" s="1">
        <v>45523</v>
      </c>
      <c r="E347" t="s">
        <v>47</v>
      </c>
      <c r="F347" t="s">
        <v>32</v>
      </c>
      <c r="G347">
        <v>40538.120000000003</v>
      </c>
      <c r="H347">
        <v>30000</v>
      </c>
      <c r="I347">
        <v>10538.12</v>
      </c>
      <c r="J347">
        <v>25.995581000000001</v>
      </c>
    </row>
    <row r="348" spans="1:10" x14ac:dyDescent="0.3">
      <c r="A348" t="s">
        <v>551</v>
      </c>
      <c r="B348" t="s">
        <v>316</v>
      </c>
      <c r="C348" t="s">
        <v>12</v>
      </c>
      <c r="D348" s="1">
        <v>45560</v>
      </c>
      <c r="E348" t="s">
        <v>24</v>
      </c>
      <c r="F348" t="s">
        <v>32</v>
      </c>
      <c r="G348">
        <v>38141.379999999997</v>
      </c>
      <c r="H348">
        <v>30000</v>
      </c>
      <c r="I348">
        <v>8141.38</v>
      </c>
      <c r="J348">
        <v>21.345268999999998</v>
      </c>
    </row>
    <row r="349" spans="1:10" x14ac:dyDescent="0.3">
      <c r="A349" t="s">
        <v>552</v>
      </c>
      <c r="B349" t="s">
        <v>136</v>
      </c>
      <c r="C349" t="s">
        <v>12</v>
      </c>
      <c r="D349" s="1">
        <v>45609</v>
      </c>
      <c r="E349" t="s">
        <v>57</v>
      </c>
      <c r="F349" t="s">
        <v>19</v>
      </c>
      <c r="G349">
        <v>42276.98</v>
      </c>
      <c r="H349">
        <v>12000</v>
      </c>
      <c r="I349">
        <v>30276.98</v>
      </c>
      <c r="J349">
        <v>71.615758999999997</v>
      </c>
    </row>
    <row r="350" spans="1:10" x14ac:dyDescent="0.3">
      <c r="A350" t="s">
        <v>553</v>
      </c>
      <c r="B350" t="s">
        <v>210</v>
      </c>
      <c r="C350" t="s">
        <v>64</v>
      </c>
      <c r="D350" s="1">
        <v>45393</v>
      </c>
      <c r="E350" t="s">
        <v>27</v>
      </c>
      <c r="F350" t="s">
        <v>19</v>
      </c>
      <c r="G350">
        <v>24694.89</v>
      </c>
      <c r="H350">
        <v>12000</v>
      </c>
      <c r="I350">
        <v>12694.89</v>
      </c>
      <c r="J350">
        <v>51.406950999999999</v>
      </c>
    </row>
    <row r="351" spans="1:10" x14ac:dyDescent="0.3">
      <c r="A351" t="s">
        <v>554</v>
      </c>
      <c r="B351" t="s">
        <v>446</v>
      </c>
      <c r="C351" t="s">
        <v>12</v>
      </c>
      <c r="D351" s="1">
        <v>45510</v>
      </c>
      <c r="E351" t="s">
        <v>47</v>
      </c>
      <c r="F351" t="s">
        <v>14</v>
      </c>
      <c r="G351">
        <v>36164.22</v>
      </c>
      <c r="H351">
        <v>500</v>
      </c>
      <c r="I351">
        <v>35664.22</v>
      </c>
      <c r="J351">
        <v>98.617418000000001</v>
      </c>
    </row>
    <row r="352" spans="1:10" x14ac:dyDescent="0.3">
      <c r="A352" t="s">
        <v>555</v>
      </c>
      <c r="B352" t="s">
        <v>489</v>
      </c>
      <c r="C352" t="s">
        <v>40</v>
      </c>
      <c r="D352" s="1">
        <v>45373</v>
      </c>
      <c r="E352" t="s">
        <v>18</v>
      </c>
      <c r="F352" t="s">
        <v>28</v>
      </c>
      <c r="G352">
        <v>25863.86</v>
      </c>
      <c r="H352">
        <v>2000</v>
      </c>
      <c r="I352">
        <v>23863.86</v>
      </c>
      <c r="J352">
        <v>92.267201999999997</v>
      </c>
    </row>
    <row r="353" spans="1:10" x14ac:dyDescent="0.3">
      <c r="A353" t="s">
        <v>556</v>
      </c>
      <c r="B353" t="s">
        <v>557</v>
      </c>
      <c r="C353" t="s">
        <v>17</v>
      </c>
      <c r="D353" s="1">
        <v>45379</v>
      </c>
      <c r="E353" t="s">
        <v>18</v>
      </c>
      <c r="F353" t="s">
        <v>19</v>
      </c>
      <c r="G353">
        <v>45797.3</v>
      </c>
      <c r="H353">
        <v>12000</v>
      </c>
      <c r="I353">
        <v>33797.300000000003</v>
      </c>
      <c r="J353">
        <v>73.797582000000006</v>
      </c>
    </row>
    <row r="354" spans="1:10" x14ac:dyDescent="0.3">
      <c r="A354" t="s">
        <v>558</v>
      </c>
      <c r="B354" t="s">
        <v>124</v>
      </c>
      <c r="C354" t="s">
        <v>64</v>
      </c>
      <c r="D354" s="1">
        <v>45502</v>
      </c>
      <c r="E354" t="s">
        <v>31</v>
      </c>
      <c r="F354" t="s">
        <v>28</v>
      </c>
      <c r="G354">
        <v>596.95000000000005</v>
      </c>
      <c r="H354">
        <v>2000</v>
      </c>
      <c r="I354">
        <v>-1403.05</v>
      </c>
      <c r="J354">
        <v>-235.03643500000001</v>
      </c>
    </row>
    <row r="355" spans="1:10" x14ac:dyDescent="0.3">
      <c r="A355" t="s">
        <v>559</v>
      </c>
      <c r="B355" t="s">
        <v>412</v>
      </c>
      <c r="C355" t="s">
        <v>64</v>
      </c>
      <c r="D355" s="1">
        <v>45611</v>
      </c>
      <c r="E355" t="s">
        <v>57</v>
      </c>
      <c r="F355" t="s">
        <v>14</v>
      </c>
      <c r="G355">
        <v>36258.32</v>
      </c>
      <c r="H355">
        <v>500</v>
      </c>
      <c r="I355">
        <v>35758.32</v>
      </c>
      <c r="J355">
        <v>98.621005999999994</v>
      </c>
    </row>
    <row r="356" spans="1:10" x14ac:dyDescent="0.3">
      <c r="A356" t="s">
        <v>560</v>
      </c>
      <c r="B356" t="s">
        <v>245</v>
      </c>
      <c r="C356" t="s">
        <v>17</v>
      </c>
      <c r="D356" s="1">
        <v>45525</v>
      </c>
      <c r="E356" t="s">
        <v>47</v>
      </c>
      <c r="F356" t="s">
        <v>32</v>
      </c>
      <c r="G356">
        <v>20468.03</v>
      </c>
      <c r="H356">
        <v>30000</v>
      </c>
      <c r="I356">
        <v>-9531.9699999999993</v>
      </c>
      <c r="J356">
        <v>-46.570041000000003</v>
      </c>
    </row>
    <row r="357" spans="1:10" x14ac:dyDescent="0.3">
      <c r="A357" t="s">
        <v>561</v>
      </c>
      <c r="B357" t="s">
        <v>412</v>
      </c>
      <c r="C357" t="s">
        <v>64</v>
      </c>
      <c r="D357" s="1">
        <v>45571</v>
      </c>
      <c r="E357" t="s">
        <v>13</v>
      </c>
      <c r="F357" t="s">
        <v>19</v>
      </c>
      <c r="G357">
        <v>14067.08</v>
      </c>
      <c r="H357">
        <v>12000</v>
      </c>
      <c r="I357">
        <v>2067.08</v>
      </c>
      <c r="J357">
        <v>14.69445</v>
      </c>
    </row>
    <row r="358" spans="1:10" x14ac:dyDescent="0.3">
      <c r="A358" t="s">
        <v>562</v>
      </c>
      <c r="B358" t="s">
        <v>206</v>
      </c>
      <c r="C358" t="s">
        <v>40</v>
      </c>
      <c r="D358" s="1">
        <v>45329</v>
      </c>
      <c r="E358" t="s">
        <v>49</v>
      </c>
      <c r="F358" t="s">
        <v>28</v>
      </c>
      <c r="G358">
        <v>9720</v>
      </c>
      <c r="H358">
        <v>2000</v>
      </c>
      <c r="I358">
        <v>7720</v>
      </c>
      <c r="J358">
        <v>79.423867999999999</v>
      </c>
    </row>
    <row r="359" spans="1:10" x14ac:dyDescent="0.3">
      <c r="A359" t="s">
        <v>563</v>
      </c>
      <c r="B359" t="s">
        <v>132</v>
      </c>
      <c r="C359" t="s">
        <v>64</v>
      </c>
      <c r="D359" s="1">
        <v>45455</v>
      </c>
      <c r="E359" t="s">
        <v>41</v>
      </c>
      <c r="F359" t="s">
        <v>19</v>
      </c>
      <c r="G359">
        <v>3203.32</v>
      </c>
      <c r="H359">
        <v>12000</v>
      </c>
      <c r="I359">
        <v>-8796.68</v>
      </c>
      <c r="J359">
        <v>-274.61134099999998</v>
      </c>
    </row>
    <row r="360" spans="1:10" x14ac:dyDescent="0.3">
      <c r="A360" t="s">
        <v>564</v>
      </c>
      <c r="B360" t="s">
        <v>11</v>
      </c>
      <c r="C360" t="s">
        <v>12</v>
      </c>
      <c r="D360" s="1">
        <v>45473</v>
      </c>
      <c r="E360" t="s">
        <v>41</v>
      </c>
      <c r="F360" t="s">
        <v>19</v>
      </c>
      <c r="G360">
        <v>47437.55</v>
      </c>
      <c r="H360">
        <v>12000</v>
      </c>
      <c r="I360">
        <v>35437.550000000003</v>
      </c>
      <c r="J360">
        <v>74.703584000000006</v>
      </c>
    </row>
    <row r="361" spans="1:10" x14ac:dyDescent="0.3">
      <c r="A361" t="s">
        <v>565</v>
      </c>
      <c r="B361" t="s">
        <v>466</v>
      </c>
      <c r="C361" t="s">
        <v>40</v>
      </c>
      <c r="D361" s="1">
        <v>45343</v>
      </c>
      <c r="E361" t="s">
        <v>49</v>
      </c>
      <c r="F361" t="s">
        <v>28</v>
      </c>
      <c r="G361">
        <v>26488.73</v>
      </c>
      <c r="H361">
        <v>2000</v>
      </c>
      <c r="I361">
        <v>24488.73</v>
      </c>
      <c r="J361">
        <v>92.449618999999998</v>
      </c>
    </row>
    <row r="362" spans="1:10" x14ac:dyDescent="0.3">
      <c r="A362" t="s">
        <v>566</v>
      </c>
      <c r="B362" t="s">
        <v>130</v>
      </c>
      <c r="C362" t="s">
        <v>40</v>
      </c>
      <c r="D362" s="1">
        <v>45504</v>
      </c>
      <c r="E362" t="s">
        <v>31</v>
      </c>
      <c r="F362" t="s">
        <v>32</v>
      </c>
      <c r="G362">
        <v>28058.47</v>
      </c>
      <c r="H362">
        <v>30000</v>
      </c>
      <c r="I362">
        <v>-1941.53</v>
      </c>
      <c r="J362">
        <v>-6.9195859999999998</v>
      </c>
    </row>
    <row r="363" spans="1:10" x14ac:dyDescent="0.3">
      <c r="A363" t="s">
        <v>567</v>
      </c>
      <c r="B363" t="s">
        <v>568</v>
      </c>
      <c r="C363" t="s">
        <v>64</v>
      </c>
      <c r="D363" s="1">
        <v>45442</v>
      </c>
      <c r="E363" t="s">
        <v>37</v>
      </c>
      <c r="F363" t="s">
        <v>19</v>
      </c>
      <c r="G363">
        <v>33978.879999999997</v>
      </c>
      <c r="H363">
        <v>12000</v>
      </c>
      <c r="I363">
        <v>21978.880000000001</v>
      </c>
      <c r="J363">
        <v>64.683944999999994</v>
      </c>
    </row>
    <row r="364" spans="1:10" x14ac:dyDescent="0.3">
      <c r="A364" t="s">
        <v>569</v>
      </c>
      <c r="B364" t="s">
        <v>117</v>
      </c>
      <c r="C364" t="s">
        <v>64</v>
      </c>
      <c r="D364" s="1">
        <v>45436</v>
      </c>
      <c r="E364" t="s">
        <v>37</v>
      </c>
      <c r="F364" t="s">
        <v>14</v>
      </c>
      <c r="G364">
        <v>35143.03</v>
      </c>
      <c r="H364">
        <v>500</v>
      </c>
      <c r="I364">
        <v>34643.03</v>
      </c>
      <c r="J364">
        <v>98.577242999999996</v>
      </c>
    </row>
    <row r="365" spans="1:10" x14ac:dyDescent="0.3">
      <c r="A365" t="s">
        <v>570</v>
      </c>
      <c r="B365" t="s">
        <v>336</v>
      </c>
      <c r="C365" t="s">
        <v>12</v>
      </c>
      <c r="D365" s="1">
        <v>45447</v>
      </c>
      <c r="E365" t="s">
        <v>41</v>
      </c>
      <c r="F365" t="s">
        <v>19</v>
      </c>
      <c r="G365">
        <v>13598.26</v>
      </c>
      <c r="H365">
        <v>12000</v>
      </c>
      <c r="I365">
        <v>1598.26</v>
      </c>
      <c r="J365">
        <v>11.753416</v>
      </c>
    </row>
    <row r="366" spans="1:10" x14ac:dyDescent="0.3">
      <c r="A366" t="s">
        <v>571</v>
      </c>
      <c r="B366" t="s">
        <v>572</v>
      </c>
      <c r="C366" t="s">
        <v>40</v>
      </c>
      <c r="D366" s="1">
        <v>45493</v>
      </c>
      <c r="E366" t="s">
        <v>31</v>
      </c>
      <c r="F366" t="s">
        <v>19</v>
      </c>
      <c r="G366">
        <v>2180.3000000000002</v>
      </c>
      <c r="H366">
        <v>12000</v>
      </c>
      <c r="I366">
        <v>-9819.7000000000007</v>
      </c>
      <c r="J366">
        <v>-450.38297499999999</v>
      </c>
    </row>
    <row r="367" spans="1:10" x14ac:dyDescent="0.3">
      <c r="A367" t="s">
        <v>573</v>
      </c>
      <c r="B367" t="s">
        <v>380</v>
      </c>
      <c r="C367" t="s">
        <v>64</v>
      </c>
      <c r="D367" s="1">
        <v>45604</v>
      </c>
      <c r="E367" t="s">
        <v>57</v>
      </c>
      <c r="F367" t="s">
        <v>19</v>
      </c>
      <c r="G367">
        <v>46063.05</v>
      </c>
      <c r="H367">
        <v>12000</v>
      </c>
      <c r="I367">
        <v>34063.050000000003</v>
      </c>
      <c r="J367">
        <v>73.948751000000001</v>
      </c>
    </row>
    <row r="368" spans="1:10" x14ac:dyDescent="0.3">
      <c r="A368" t="s">
        <v>574</v>
      </c>
      <c r="B368" t="s">
        <v>309</v>
      </c>
      <c r="C368" t="s">
        <v>17</v>
      </c>
      <c r="D368" s="1">
        <v>45655</v>
      </c>
      <c r="E368" t="s">
        <v>95</v>
      </c>
      <c r="F368" t="s">
        <v>32</v>
      </c>
      <c r="G368">
        <v>47684.959999999999</v>
      </c>
      <c r="H368">
        <v>30000</v>
      </c>
      <c r="I368">
        <v>17684.96</v>
      </c>
      <c r="J368">
        <v>37.087082000000002</v>
      </c>
    </row>
    <row r="369" spans="1:10" x14ac:dyDescent="0.3">
      <c r="A369" t="s">
        <v>575</v>
      </c>
      <c r="B369" t="s">
        <v>257</v>
      </c>
      <c r="C369" t="s">
        <v>12</v>
      </c>
      <c r="D369" s="1">
        <v>45406</v>
      </c>
      <c r="E369" t="s">
        <v>27</v>
      </c>
      <c r="F369" t="s">
        <v>28</v>
      </c>
      <c r="G369">
        <v>26493.85</v>
      </c>
      <c r="H369">
        <v>2000</v>
      </c>
      <c r="I369">
        <v>24493.85</v>
      </c>
      <c r="J369">
        <v>92.451077999999995</v>
      </c>
    </row>
    <row r="370" spans="1:10" x14ac:dyDescent="0.3">
      <c r="A370" t="s">
        <v>576</v>
      </c>
      <c r="B370" t="s">
        <v>107</v>
      </c>
      <c r="C370" t="s">
        <v>64</v>
      </c>
      <c r="D370" s="1">
        <v>45565</v>
      </c>
      <c r="E370" t="s">
        <v>24</v>
      </c>
      <c r="F370" t="s">
        <v>28</v>
      </c>
      <c r="G370">
        <v>25488.63</v>
      </c>
      <c r="H370">
        <v>2000</v>
      </c>
      <c r="I370">
        <v>23488.63</v>
      </c>
      <c r="J370">
        <v>92.153363999999996</v>
      </c>
    </row>
    <row r="371" spans="1:10" x14ac:dyDescent="0.3">
      <c r="A371" t="s">
        <v>577</v>
      </c>
      <c r="B371" t="s">
        <v>417</v>
      </c>
      <c r="C371" t="s">
        <v>12</v>
      </c>
      <c r="D371" s="1">
        <v>45378</v>
      </c>
      <c r="E371" t="s">
        <v>18</v>
      </c>
      <c r="F371" t="s">
        <v>14</v>
      </c>
      <c r="G371">
        <v>42224.97</v>
      </c>
      <c r="H371">
        <v>500</v>
      </c>
      <c r="I371">
        <v>41724.97</v>
      </c>
      <c r="J371">
        <v>98.815866999999997</v>
      </c>
    </row>
    <row r="372" spans="1:10" x14ac:dyDescent="0.3">
      <c r="A372" t="s">
        <v>578</v>
      </c>
      <c r="B372" t="s">
        <v>101</v>
      </c>
      <c r="C372" t="s">
        <v>17</v>
      </c>
      <c r="D372" s="1">
        <v>45396</v>
      </c>
      <c r="E372" t="s">
        <v>27</v>
      </c>
      <c r="F372" t="s">
        <v>19</v>
      </c>
      <c r="G372">
        <v>22592.49</v>
      </c>
      <c r="H372">
        <v>12000</v>
      </c>
      <c r="I372">
        <v>10592.49</v>
      </c>
      <c r="J372">
        <v>46.885005</v>
      </c>
    </row>
    <row r="373" spans="1:10" x14ac:dyDescent="0.3">
      <c r="A373" t="s">
        <v>579</v>
      </c>
      <c r="B373" t="s">
        <v>334</v>
      </c>
      <c r="C373" t="s">
        <v>17</v>
      </c>
      <c r="D373" s="1">
        <v>45576</v>
      </c>
      <c r="E373" t="s">
        <v>13</v>
      </c>
      <c r="F373" t="s">
        <v>19</v>
      </c>
      <c r="G373">
        <v>47753.06</v>
      </c>
      <c r="H373">
        <v>12000</v>
      </c>
      <c r="I373">
        <v>35753.06</v>
      </c>
      <c r="J373">
        <v>74.870720000000006</v>
      </c>
    </row>
    <row r="374" spans="1:10" x14ac:dyDescent="0.3">
      <c r="A374" t="s">
        <v>580</v>
      </c>
      <c r="B374" t="s">
        <v>581</v>
      </c>
      <c r="C374" t="s">
        <v>12</v>
      </c>
      <c r="D374" s="1">
        <v>45538</v>
      </c>
      <c r="E374" t="s">
        <v>24</v>
      </c>
      <c r="F374" t="s">
        <v>28</v>
      </c>
      <c r="G374">
        <v>30295.66</v>
      </c>
      <c r="H374">
        <v>2000</v>
      </c>
      <c r="I374">
        <v>28295.66</v>
      </c>
      <c r="J374">
        <v>93.398393999999996</v>
      </c>
    </row>
    <row r="375" spans="1:10" x14ac:dyDescent="0.3">
      <c r="A375" t="s">
        <v>582</v>
      </c>
      <c r="B375" t="s">
        <v>583</v>
      </c>
      <c r="C375" t="s">
        <v>64</v>
      </c>
      <c r="D375" s="1">
        <v>45311</v>
      </c>
      <c r="E375" t="s">
        <v>44</v>
      </c>
      <c r="F375" t="s">
        <v>19</v>
      </c>
      <c r="G375">
        <v>16610.599999999999</v>
      </c>
      <c r="H375">
        <v>12000</v>
      </c>
      <c r="I375">
        <v>4610.6000000000004</v>
      </c>
      <c r="J375">
        <v>27.756974</v>
      </c>
    </row>
    <row r="376" spans="1:10" x14ac:dyDescent="0.3">
      <c r="A376" t="s">
        <v>584</v>
      </c>
      <c r="B376" t="s">
        <v>481</v>
      </c>
      <c r="C376" t="s">
        <v>64</v>
      </c>
      <c r="D376" s="1">
        <v>45610</v>
      </c>
      <c r="E376" t="s">
        <v>57</v>
      </c>
      <c r="F376" t="s">
        <v>19</v>
      </c>
      <c r="G376">
        <v>23295.34</v>
      </c>
      <c r="H376">
        <v>12000</v>
      </c>
      <c r="I376">
        <v>11295.34</v>
      </c>
      <c r="J376">
        <v>48.487552000000001</v>
      </c>
    </row>
    <row r="377" spans="1:10" x14ac:dyDescent="0.3">
      <c r="A377" t="s">
        <v>585</v>
      </c>
      <c r="B377" t="s">
        <v>141</v>
      </c>
      <c r="C377" t="s">
        <v>12</v>
      </c>
      <c r="D377" s="1">
        <v>45647</v>
      </c>
      <c r="E377" t="s">
        <v>95</v>
      </c>
      <c r="F377" t="s">
        <v>19</v>
      </c>
      <c r="G377">
        <v>8758.94</v>
      </c>
      <c r="H377">
        <v>12000</v>
      </c>
      <c r="I377">
        <v>-3241.06</v>
      </c>
      <c r="J377">
        <v>-37.002879</v>
      </c>
    </row>
    <row r="378" spans="1:10" x14ac:dyDescent="0.3">
      <c r="A378" t="s">
        <v>586</v>
      </c>
      <c r="B378" t="s">
        <v>532</v>
      </c>
      <c r="C378" t="s">
        <v>12</v>
      </c>
      <c r="D378" s="1">
        <v>45350</v>
      </c>
      <c r="E378" t="s">
        <v>49</v>
      </c>
      <c r="F378" t="s">
        <v>28</v>
      </c>
      <c r="G378">
        <v>43172.63</v>
      </c>
      <c r="H378">
        <v>2000</v>
      </c>
      <c r="I378">
        <v>41172.629999999997</v>
      </c>
      <c r="J378">
        <v>95.367435</v>
      </c>
    </row>
    <row r="379" spans="1:10" x14ac:dyDescent="0.3">
      <c r="A379" t="s">
        <v>587</v>
      </c>
      <c r="B379" t="s">
        <v>503</v>
      </c>
      <c r="C379" t="s">
        <v>40</v>
      </c>
      <c r="D379" s="1">
        <v>45332</v>
      </c>
      <c r="E379" t="s">
        <v>49</v>
      </c>
      <c r="F379" t="s">
        <v>32</v>
      </c>
      <c r="G379">
        <v>35715.120000000003</v>
      </c>
      <c r="H379">
        <v>30000</v>
      </c>
      <c r="I379">
        <v>5715.12</v>
      </c>
      <c r="J379">
        <v>16.001961999999999</v>
      </c>
    </row>
    <row r="380" spans="1:10" x14ac:dyDescent="0.3">
      <c r="A380" t="s">
        <v>588</v>
      </c>
      <c r="B380" t="s">
        <v>532</v>
      </c>
      <c r="C380" t="s">
        <v>12</v>
      </c>
      <c r="D380" s="1">
        <v>45359</v>
      </c>
      <c r="E380" t="s">
        <v>18</v>
      </c>
      <c r="F380" t="s">
        <v>14</v>
      </c>
      <c r="G380">
        <v>23353.74</v>
      </c>
      <c r="H380">
        <v>500</v>
      </c>
      <c r="I380">
        <v>22853.74</v>
      </c>
      <c r="J380">
        <v>97.859014999999999</v>
      </c>
    </row>
    <row r="381" spans="1:10" x14ac:dyDescent="0.3">
      <c r="A381" t="s">
        <v>589</v>
      </c>
      <c r="B381" t="s">
        <v>143</v>
      </c>
      <c r="C381" t="s">
        <v>64</v>
      </c>
      <c r="D381" s="1">
        <v>45444</v>
      </c>
      <c r="E381" t="s">
        <v>41</v>
      </c>
      <c r="F381" t="s">
        <v>32</v>
      </c>
      <c r="G381">
        <v>2493.4</v>
      </c>
      <c r="H381">
        <v>30000</v>
      </c>
      <c r="I381">
        <v>-27506.6</v>
      </c>
      <c r="J381">
        <v>-1103.1763860000001</v>
      </c>
    </row>
    <row r="382" spans="1:10" x14ac:dyDescent="0.3">
      <c r="A382" t="s">
        <v>590</v>
      </c>
      <c r="B382" t="s">
        <v>117</v>
      </c>
      <c r="C382" t="s">
        <v>64</v>
      </c>
      <c r="D382" s="1">
        <v>45636</v>
      </c>
      <c r="E382" t="s">
        <v>95</v>
      </c>
      <c r="F382" t="s">
        <v>28</v>
      </c>
      <c r="G382">
        <v>37301.199999999997</v>
      </c>
      <c r="H382">
        <v>2000</v>
      </c>
      <c r="I382">
        <v>35301.199999999997</v>
      </c>
      <c r="J382">
        <v>94.638242000000005</v>
      </c>
    </row>
    <row r="383" spans="1:10" x14ac:dyDescent="0.3">
      <c r="A383" t="s">
        <v>591</v>
      </c>
      <c r="B383" t="s">
        <v>539</v>
      </c>
      <c r="C383" t="s">
        <v>64</v>
      </c>
      <c r="D383" s="1">
        <v>45575</v>
      </c>
      <c r="E383" t="s">
        <v>13</v>
      </c>
      <c r="F383" t="s">
        <v>19</v>
      </c>
      <c r="G383">
        <v>47879.21</v>
      </c>
      <c r="H383">
        <v>12000</v>
      </c>
      <c r="I383">
        <v>35879.21</v>
      </c>
      <c r="J383">
        <v>74.936930000000004</v>
      </c>
    </row>
    <row r="384" spans="1:10" x14ac:dyDescent="0.3">
      <c r="A384" t="s">
        <v>592</v>
      </c>
      <c r="B384" t="s">
        <v>117</v>
      </c>
      <c r="C384" t="s">
        <v>64</v>
      </c>
      <c r="D384" s="1">
        <v>45621</v>
      </c>
      <c r="E384" t="s">
        <v>57</v>
      </c>
      <c r="F384" t="s">
        <v>28</v>
      </c>
      <c r="G384">
        <v>42149.5</v>
      </c>
      <c r="H384">
        <v>2000</v>
      </c>
      <c r="I384">
        <v>40149.5</v>
      </c>
      <c r="J384">
        <v>95.254985000000005</v>
      </c>
    </row>
    <row r="385" spans="1:10" x14ac:dyDescent="0.3">
      <c r="A385" t="s">
        <v>593</v>
      </c>
      <c r="B385" t="s">
        <v>119</v>
      </c>
      <c r="C385" t="s">
        <v>12</v>
      </c>
      <c r="D385" s="1">
        <v>45506</v>
      </c>
      <c r="E385" t="s">
        <v>47</v>
      </c>
      <c r="F385" t="s">
        <v>14</v>
      </c>
      <c r="G385">
        <v>20371.39</v>
      </c>
      <c r="H385">
        <v>500</v>
      </c>
      <c r="I385">
        <v>19871.39</v>
      </c>
      <c r="J385">
        <v>97.545576999999994</v>
      </c>
    </row>
    <row r="386" spans="1:10" x14ac:dyDescent="0.3">
      <c r="A386" t="s">
        <v>594</v>
      </c>
      <c r="B386" t="s">
        <v>76</v>
      </c>
      <c r="C386" t="s">
        <v>17</v>
      </c>
      <c r="D386" s="1">
        <v>45603</v>
      </c>
      <c r="E386" t="s">
        <v>57</v>
      </c>
      <c r="F386" t="s">
        <v>19</v>
      </c>
      <c r="G386">
        <v>39973.879999999997</v>
      </c>
      <c r="H386">
        <v>12000</v>
      </c>
      <c r="I386">
        <v>27973.88</v>
      </c>
      <c r="J386">
        <v>69.980396999999996</v>
      </c>
    </row>
    <row r="387" spans="1:10" x14ac:dyDescent="0.3">
      <c r="A387" t="s">
        <v>595</v>
      </c>
      <c r="B387" t="s">
        <v>86</v>
      </c>
      <c r="C387" t="s">
        <v>40</v>
      </c>
      <c r="D387" s="1">
        <v>45652</v>
      </c>
      <c r="E387" t="s">
        <v>95</v>
      </c>
      <c r="F387" t="s">
        <v>14</v>
      </c>
      <c r="G387">
        <v>45733.69</v>
      </c>
      <c r="H387">
        <v>500</v>
      </c>
      <c r="I387">
        <v>45233.69</v>
      </c>
      <c r="J387">
        <v>98.906713999999994</v>
      </c>
    </row>
    <row r="388" spans="1:10" x14ac:dyDescent="0.3">
      <c r="A388" t="s">
        <v>596</v>
      </c>
      <c r="B388" t="s">
        <v>150</v>
      </c>
      <c r="C388" t="s">
        <v>64</v>
      </c>
      <c r="D388" s="1">
        <v>45560</v>
      </c>
      <c r="E388" t="s">
        <v>24</v>
      </c>
      <c r="F388" t="s">
        <v>14</v>
      </c>
      <c r="G388">
        <v>28045</v>
      </c>
      <c r="H388">
        <v>500</v>
      </c>
      <c r="I388">
        <v>27545</v>
      </c>
      <c r="J388">
        <v>98.217151000000001</v>
      </c>
    </row>
    <row r="389" spans="1:10" x14ac:dyDescent="0.3">
      <c r="A389" t="s">
        <v>597</v>
      </c>
      <c r="B389" t="s">
        <v>412</v>
      </c>
      <c r="C389" t="s">
        <v>64</v>
      </c>
      <c r="D389" s="1">
        <v>45546</v>
      </c>
      <c r="E389" t="s">
        <v>24</v>
      </c>
      <c r="F389" t="s">
        <v>14</v>
      </c>
      <c r="G389">
        <v>37585.99</v>
      </c>
      <c r="H389">
        <v>500</v>
      </c>
      <c r="I389">
        <v>37085.99</v>
      </c>
      <c r="J389">
        <v>98.669717000000006</v>
      </c>
    </row>
    <row r="390" spans="1:10" x14ac:dyDescent="0.3">
      <c r="A390" t="s">
        <v>598</v>
      </c>
      <c r="B390" t="s">
        <v>426</v>
      </c>
      <c r="C390" t="s">
        <v>12</v>
      </c>
      <c r="D390" s="1">
        <v>45550</v>
      </c>
      <c r="E390" t="s">
        <v>24</v>
      </c>
      <c r="F390" t="s">
        <v>32</v>
      </c>
      <c r="G390">
        <v>8900.51</v>
      </c>
      <c r="H390">
        <v>30000</v>
      </c>
      <c r="I390">
        <v>-21099.49</v>
      </c>
      <c r="J390">
        <v>-237.059337</v>
      </c>
    </row>
    <row r="391" spans="1:10" x14ac:dyDescent="0.3">
      <c r="A391" t="s">
        <v>599</v>
      </c>
      <c r="B391" t="s">
        <v>334</v>
      </c>
      <c r="C391" t="s">
        <v>17</v>
      </c>
      <c r="D391" s="1">
        <v>45321</v>
      </c>
      <c r="E391" t="s">
        <v>44</v>
      </c>
      <c r="F391" t="s">
        <v>14</v>
      </c>
      <c r="G391">
        <v>29358.77</v>
      </c>
      <c r="H391">
        <v>500</v>
      </c>
      <c r="I391">
        <v>28858.77</v>
      </c>
      <c r="J391">
        <v>98.296931000000001</v>
      </c>
    </row>
    <row r="392" spans="1:10" x14ac:dyDescent="0.3">
      <c r="A392" t="s">
        <v>600</v>
      </c>
      <c r="B392" t="s">
        <v>174</v>
      </c>
      <c r="C392" t="s">
        <v>12</v>
      </c>
      <c r="D392" s="1">
        <v>45358</v>
      </c>
      <c r="E392" t="s">
        <v>18</v>
      </c>
      <c r="F392" t="s">
        <v>32</v>
      </c>
      <c r="G392">
        <v>25862.49</v>
      </c>
      <c r="H392">
        <v>30000</v>
      </c>
      <c r="I392">
        <v>-4137.51</v>
      </c>
      <c r="J392">
        <v>-15.998112000000001</v>
      </c>
    </row>
    <row r="393" spans="1:10" x14ac:dyDescent="0.3">
      <c r="A393" t="s">
        <v>601</v>
      </c>
      <c r="B393" t="s">
        <v>143</v>
      </c>
      <c r="C393" t="s">
        <v>64</v>
      </c>
      <c r="D393" s="1">
        <v>45409</v>
      </c>
      <c r="E393" t="s">
        <v>27</v>
      </c>
      <c r="F393" t="s">
        <v>28</v>
      </c>
      <c r="G393">
        <v>47493.74</v>
      </c>
      <c r="H393">
        <v>2000</v>
      </c>
      <c r="I393">
        <v>45493.74</v>
      </c>
      <c r="J393">
        <v>95.788919000000007</v>
      </c>
    </row>
    <row r="394" spans="1:10" x14ac:dyDescent="0.3">
      <c r="A394" t="s">
        <v>602</v>
      </c>
      <c r="B394" t="s">
        <v>122</v>
      </c>
      <c r="C394" t="s">
        <v>64</v>
      </c>
      <c r="D394" s="1">
        <v>45650</v>
      </c>
      <c r="E394" t="s">
        <v>95</v>
      </c>
      <c r="F394" t="s">
        <v>32</v>
      </c>
      <c r="G394">
        <v>3182.76</v>
      </c>
      <c r="H394">
        <v>30000</v>
      </c>
      <c r="I394">
        <v>-26817.24</v>
      </c>
      <c r="J394">
        <v>-842.57813999999996</v>
      </c>
    </row>
    <row r="395" spans="1:10" x14ac:dyDescent="0.3">
      <c r="A395" t="s">
        <v>603</v>
      </c>
      <c r="B395" t="s">
        <v>326</v>
      </c>
      <c r="C395" t="s">
        <v>40</v>
      </c>
      <c r="D395" s="1">
        <v>45314</v>
      </c>
      <c r="E395" t="s">
        <v>44</v>
      </c>
      <c r="F395" t="s">
        <v>14</v>
      </c>
      <c r="G395">
        <v>38097.03</v>
      </c>
      <c r="H395">
        <v>500</v>
      </c>
      <c r="I395">
        <v>37597.03</v>
      </c>
      <c r="J395">
        <v>98.687562</v>
      </c>
    </row>
    <row r="396" spans="1:10" x14ac:dyDescent="0.3">
      <c r="A396" t="s">
        <v>604</v>
      </c>
      <c r="B396" t="s">
        <v>167</v>
      </c>
      <c r="C396" t="s">
        <v>40</v>
      </c>
      <c r="D396" s="1">
        <v>45477</v>
      </c>
      <c r="E396" t="s">
        <v>31</v>
      </c>
      <c r="F396" t="s">
        <v>19</v>
      </c>
      <c r="G396">
        <v>4210.91</v>
      </c>
      <c r="H396">
        <v>12000</v>
      </c>
      <c r="I396">
        <v>-7789.09</v>
      </c>
      <c r="J396">
        <v>-184.97403199999999</v>
      </c>
    </row>
    <row r="397" spans="1:10" x14ac:dyDescent="0.3">
      <c r="A397" t="s">
        <v>605</v>
      </c>
      <c r="B397" t="s">
        <v>426</v>
      </c>
      <c r="C397" t="s">
        <v>12</v>
      </c>
      <c r="D397" s="1">
        <v>45627</v>
      </c>
      <c r="E397" t="s">
        <v>95</v>
      </c>
      <c r="F397" t="s">
        <v>32</v>
      </c>
      <c r="G397">
        <v>38012.1</v>
      </c>
      <c r="H397">
        <v>30000</v>
      </c>
      <c r="I397">
        <v>8012.1</v>
      </c>
      <c r="J397">
        <v>21.077762</v>
      </c>
    </row>
    <row r="398" spans="1:10" x14ac:dyDescent="0.3">
      <c r="A398" t="s">
        <v>606</v>
      </c>
      <c r="B398" t="s">
        <v>360</v>
      </c>
      <c r="C398" t="s">
        <v>64</v>
      </c>
      <c r="D398" s="1">
        <v>45514</v>
      </c>
      <c r="E398" t="s">
        <v>47</v>
      </c>
      <c r="F398" t="s">
        <v>32</v>
      </c>
      <c r="G398">
        <v>29104.02</v>
      </c>
      <c r="H398">
        <v>30000</v>
      </c>
      <c r="I398">
        <v>-895.98</v>
      </c>
      <c r="J398">
        <v>-3.0785439999999999</v>
      </c>
    </row>
    <row r="399" spans="1:10" x14ac:dyDescent="0.3">
      <c r="A399" t="s">
        <v>607</v>
      </c>
      <c r="B399" t="s">
        <v>466</v>
      </c>
      <c r="C399" t="s">
        <v>40</v>
      </c>
      <c r="D399" s="1">
        <v>45293</v>
      </c>
      <c r="E399" t="s">
        <v>44</v>
      </c>
      <c r="F399" t="s">
        <v>14</v>
      </c>
      <c r="G399">
        <v>25992.19</v>
      </c>
      <c r="H399">
        <v>500</v>
      </c>
      <c r="I399">
        <v>25492.19</v>
      </c>
      <c r="J399">
        <v>98.076345000000003</v>
      </c>
    </row>
    <row r="400" spans="1:10" x14ac:dyDescent="0.3">
      <c r="A400" t="s">
        <v>608</v>
      </c>
      <c r="B400" t="s">
        <v>609</v>
      </c>
      <c r="C400" t="s">
        <v>12</v>
      </c>
      <c r="D400" s="1">
        <v>45571</v>
      </c>
      <c r="E400" t="s">
        <v>13</v>
      </c>
      <c r="F400" t="s">
        <v>14</v>
      </c>
      <c r="G400">
        <v>706.66</v>
      </c>
      <c r="H400">
        <v>500</v>
      </c>
      <c r="I400">
        <v>206.66</v>
      </c>
      <c r="J400">
        <v>29.244616000000001</v>
      </c>
    </row>
    <row r="401" spans="1:10" x14ac:dyDescent="0.3">
      <c r="A401" t="s">
        <v>610</v>
      </c>
      <c r="B401" t="s">
        <v>21</v>
      </c>
      <c r="C401" t="s">
        <v>17</v>
      </c>
      <c r="D401" s="1">
        <v>45525</v>
      </c>
      <c r="E401" t="s">
        <v>47</v>
      </c>
      <c r="F401" t="s">
        <v>28</v>
      </c>
      <c r="G401">
        <v>10722.55</v>
      </c>
      <c r="H401">
        <v>2000</v>
      </c>
      <c r="I401">
        <v>8722.5499999999993</v>
      </c>
      <c r="J401">
        <v>81.347719999999995</v>
      </c>
    </row>
    <row r="402" spans="1:10" x14ac:dyDescent="0.3">
      <c r="A402" t="s">
        <v>611</v>
      </c>
      <c r="B402" t="s">
        <v>249</v>
      </c>
      <c r="C402" t="s">
        <v>64</v>
      </c>
      <c r="D402" s="1">
        <v>45347</v>
      </c>
      <c r="E402" t="s">
        <v>49</v>
      </c>
      <c r="F402" t="s">
        <v>19</v>
      </c>
      <c r="G402">
        <v>28544.79</v>
      </c>
      <c r="H402">
        <v>12000</v>
      </c>
      <c r="I402">
        <v>16544.79</v>
      </c>
      <c r="J402">
        <v>57.960805000000001</v>
      </c>
    </row>
    <row r="403" spans="1:10" x14ac:dyDescent="0.3">
      <c r="A403" t="s">
        <v>612</v>
      </c>
      <c r="B403" t="s">
        <v>179</v>
      </c>
      <c r="C403" t="s">
        <v>12</v>
      </c>
      <c r="D403" s="1">
        <v>45541</v>
      </c>
      <c r="E403" t="s">
        <v>24</v>
      </c>
      <c r="F403" t="s">
        <v>28</v>
      </c>
      <c r="G403">
        <v>32494.86</v>
      </c>
      <c r="H403">
        <v>2000</v>
      </c>
      <c r="I403">
        <v>30494.86</v>
      </c>
      <c r="J403">
        <v>93.845179999999999</v>
      </c>
    </row>
    <row r="404" spans="1:10" x14ac:dyDescent="0.3">
      <c r="A404" t="s">
        <v>613</v>
      </c>
      <c r="B404" t="s">
        <v>117</v>
      </c>
      <c r="C404" t="s">
        <v>64</v>
      </c>
      <c r="D404" s="1">
        <v>45384</v>
      </c>
      <c r="E404" t="s">
        <v>27</v>
      </c>
      <c r="F404" t="s">
        <v>19</v>
      </c>
      <c r="G404">
        <v>28034.45</v>
      </c>
      <c r="H404">
        <v>12000</v>
      </c>
      <c r="I404">
        <v>16034.45</v>
      </c>
      <c r="J404">
        <v>57.195521999999997</v>
      </c>
    </row>
    <row r="405" spans="1:10" x14ac:dyDescent="0.3">
      <c r="A405" t="s">
        <v>614</v>
      </c>
      <c r="B405" t="s">
        <v>186</v>
      </c>
      <c r="C405" t="s">
        <v>64</v>
      </c>
      <c r="D405" s="1">
        <v>45301</v>
      </c>
      <c r="E405" t="s">
        <v>44</v>
      </c>
      <c r="F405" t="s">
        <v>28</v>
      </c>
      <c r="G405">
        <v>39063.29</v>
      </c>
      <c r="H405">
        <v>2000</v>
      </c>
      <c r="I405">
        <v>37063.29</v>
      </c>
      <c r="J405">
        <v>94.880104000000003</v>
      </c>
    </row>
    <row r="406" spans="1:10" x14ac:dyDescent="0.3">
      <c r="A406" t="s">
        <v>615</v>
      </c>
      <c r="B406" t="s">
        <v>223</v>
      </c>
      <c r="C406" t="s">
        <v>64</v>
      </c>
      <c r="D406" s="1">
        <v>45544</v>
      </c>
      <c r="E406" t="s">
        <v>24</v>
      </c>
      <c r="F406" t="s">
        <v>32</v>
      </c>
      <c r="G406">
        <v>40486.21</v>
      </c>
      <c r="H406">
        <v>30000</v>
      </c>
      <c r="I406">
        <v>10486.21</v>
      </c>
      <c r="J406">
        <v>25.900696</v>
      </c>
    </row>
    <row r="407" spans="1:10" x14ac:dyDescent="0.3">
      <c r="A407" t="s">
        <v>616</v>
      </c>
      <c r="B407" t="s">
        <v>122</v>
      </c>
      <c r="C407" t="s">
        <v>64</v>
      </c>
      <c r="D407" s="1">
        <v>45454</v>
      </c>
      <c r="E407" t="s">
        <v>41</v>
      </c>
      <c r="F407" t="s">
        <v>19</v>
      </c>
      <c r="G407">
        <v>9280.4699999999993</v>
      </c>
      <c r="H407">
        <v>12000</v>
      </c>
      <c r="I407">
        <v>-2719.53</v>
      </c>
      <c r="J407">
        <v>-29.303795999999998</v>
      </c>
    </row>
    <row r="408" spans="1:10" x14ac:dyDescent="0.3">
      <c r="A408" t="s">
        <v>617</v>
      </c>
      <c r="B408" t="s">
        <v>453</v>
      </c>
      <c r="C408" t="s">
        <v>64</v>
      </c>
      <c r="D408" s="1">
        <v>45569</v>
      </c>
      <c r="E408" t="s">
        <v>13</v>
      </c>
      <c r="F408" t="s">
        <v>14</v>
      </c>
      <c r="G408">
        <v>35042.519999999997</v>
      </c>
      <c r="H408">
        <v>500</v>
      </c>
      <c r="I408">
        <v>34542.519999999997</v>
      </c>
      <c r="J408">
        <v>98.573161999999996</v>
      </c>
    </row>
    <row r="409" spans="1:10" x14ac:dyDescent="0.3">
      <c r="A409" t="s">
        <v>618</v>
      </c>
      <c r="B409" t="s">
        <v>619</v>
      </c>
      <c r="C409" t="s">
        <v>40</v>
      </c>
      <c r="D409" s="1">
        <v>45368</v>
      </c>
      <c r="E409" t="s">
        <v>18</v>
      </c>
      <c r="F409" t="s">
        <v>32</v>
      </c>
      <c r="G409">
        <v>17068.54</v>
      </c>
      <c r="H409">
        <v>30000</v>
      </c>
      <c r="I409">
        <v>-12931.46</v>
      </c>
      <c r="J409">
        <v>-75.761956999999995</v>
      </c>
    </row>
    <row r="410" spans="1:10" x14ac:dyDescent="0.3">
      <c r="A410" t="s">
        <v>620</v>
      </c>
      <c r="B410" t="s">
        <v>70</v>
      </c>
      <c r="C410" t="s">
        <v>64</v>
      </c>
      <c r="D410" s="1">
        <v>45592</v>
      </c>
      <c r="E410" t="s">
        <v>13</v>
      </c>
      <c r="F410" t="s">
        <v>14</v>
      </c>
      <c r="G410">
        <v>45267.360000000001</v>
      </c>
      <c r="H410">
        <v>500</v>
      </c>
      <c r="I410">
        <v>44767.360000000001</v>
      </c>
      <c r="J410">
        <v>98.895450999999994</v>
      </c>
    </row>
    <row r="411" spans="1:10" x14ac:dyDescent="0.3">
      <c r="A411" t="s">
        <v>621</v>
      </c>
      <c r="B411" t="s">
        <v>336</v>
      </c>
      <c r="C411" t="s">
        <v>12</v>
      </c>
      <c r="D411" s="1">
        <v>45461</v>
      </c>
      <c r="E411" t="s">
        <v>41</v>
      </c>
      <c r="F411" t="s">
        <v>28</v>
      </c>
      <c r="G411">
        <v>6204.65</v>
      </c>
      <c r="H411">
        <v>2000</v>
      </c>
      <c r="I411">
        <v>4204.6499999999996</v>
      </c>
      <c r="J411">
        <v>67.766110999999995</v>
      </c>
    </row>
    <row r="412" spans="1:10" x14ac:dyDescent="0.3">
      <c r="A412" t="s">
        <v>622</v>
      </c>
      <c r="B412" t="s">
        <v>61</v>
      </c>
      <c r="C412" t="s">
        <v>12</v>
      </c>
      <c r="D412" s="1">
        <v>45547</v>
      </c>
      <c r="E412" t="s">
        <v>24</v>
      </c>
      <c r="F412" t="s">
        <v>28</v>
      </c>
      <c r="G412">
        <v>36390.080000000002</v>
      </c>
      <c r="H412">
        <v>2000</v>
      </c>
      <c r="I412">
        <v>34390.080000000002</v>
      </c>
      <c r="J412">
        <v>94.503996999999998</v>
      </c>
    </row>
    <row r="413" spans="1:10" x14ac:dyDescent="0.3">
      <c r="A413" t="s">
        <v>623</v>
      </c>
      <c r="B413" t="s">
        <v>82</v>
      </c>
      <c r="C413" t="s">
        <v>17</v>
      </c>
      <c r="D413" s="1">
        <v>45294</v>
      </c>
      <c r="E413" t="s">
        <v>44</v>
      </c>
      <c r="F413" t="s">
        <v>32</v>
      </c>
      <c r="G413">
        <v>2141.9699999999998</v>
      </c>
      <c r="H413">
        <v>30000</v>
      </c>
      <c r="I413">
        <v>-27858.03</v>
      </c>
      <c r="J413">
        <v>-1300.5798400000001</v>
      </c>
    </row>
    <row r="414" spans="1:10" x14ac:dyDescent="0.3">
      <c r="A414" t="s">
        <v>624</v>
      </c>
      <c r="B414" t="s">
        <v>72</v>
      </c>
      <c r="C414" t="s">
        <v>64</v>
      </c>
      <c r="D414" s="1">
        <v>45449</v>
      </c>
      <c r="E414" t="s">
        <v>41</v>
      </c>
      <c r="F414" t="s">
        <v>19</v>
      </c>
      <c r="G414">
        <v>1119.96</v>
      </c>
      <c r="H414">
        <v>12000</v>
      </c>
      <c r="I414">
        <v>-10880.04</v>
      </c>
      <c r="J414">
        <v>-971.46683800000005</v>
      </c>
    </row>
    <row r="415" spans="1:10" x14ac:dyDescent="0.3">
      <c r="A415" t="s">
        <v>625</v>
      </c>
      <c r="B415" t="s">
        <v>134</v>
      </c>
      <c r="C415" t="s">
        <v>40</v>
      </c>
      <c r="D415" s="1">
        <v>45549</v>
      </c>
      <c r="E415" t="s">
        <v>24</v>
      </c>
      <c r="F415" t="s">
        <v>19</v>
      </c>
      <c r="G415">
        <v>15942.09</v>
      </c>
      <c r="H415">
        <v>12000</v>
      </c>
      <c r="I415">
        <v>3942.09</v>
      </c>
      <c r="J415">
        <v>24.727561000000001</v>
      </c>
    </row>
    <row r="416" spans="1:10" x14ac:dyDescent="0.3">
      <c r="A416" t="s">
        <v>626</v>
      </c>
      <c r="B416" t="s">
        <v>255</v>
      </c>
      <c r="C416" t="s">
        <v>64</v>
      </c>
      <c r="D416" s="1">
        <v>45413</v>
      </c>
      <c r="E416" t="s">
        <v>37</v>
      </c>
      <c r="F416" t="s">
        <v>32</v>
      </c>
      <c r="G416">
        <v>26928.1</v>
      </c>
      <c r="H416">
        <v>30000</v>
      </c>
      <c r="I416">
        <v>-3071.9</v>
      </c>
      <c r="J416">
        <v>-11.407786</v>
      </c>
    </row>
    <row r="417" spans="1:10" x14ac:dyDescent="0.3">
      <c r="A417" t="s">
        <v>627</v>
      </c>
      <c r="B417" t="s">
        <v>210</v>
      </c>
      <c r="C417" t="s">
        <v>64</v>
      </c>
      <c r="D417" s="1">
        <v>45378</v>
      </c>
      <c r="E417" t="s">
        <v>18</v>
      </c>
      <c r="F417" t="s">
        <v>32</v>
      </c>
      <c r="G417">
        <v>29526</v>
      </c>
      <c r="H417">
        <v>30000</v>
      </c>
      <c r="I417">
        <v>-474</v>
      </c>
      <c r="J417">
        <v>-1.6053649999999999</v>
      </c>
    </row>
    <row r="418" spans="1:10" x14ac:dyDescent="0.3">
      <c r="A418" t="s">
        <v>628</v>
      </c>
      <c r="B418" t="s">
        <v>165</v>
      </c>
      <c r="C418" t="s">
        <v>17</v>
      </c>
      <c r="D418" s="1">
        <v>45395</v>
      </c>
      <c r="E418" t="s">
        <v>27</v>
      </c>
      <c r="F418" t="s">
        <v>28</v>
      </c>
      <c r="G418">
        <v>41829</v>
      </c>
      <c r="H418">
        <v>2000</v>
      </c>
      <c r="I418">
        <v>39829</v>
      </c>
      <c r="J418">
        <v>95.218627999999995</v>
      </c>
    </row>
    <row r="419" spans="1:10" x14ac:dyDescent="0.3">
      <c r="A419" t="s">
        <v>629</v>
      </c>
      <c r="B419" t="s">
        <v>489</v>
      </c>
      <c r="C419" t="s">
        <v>40</v>
      </c>
      <c r="D419" s="1">
        <v>45301</v>
      </c>
      <c r="E419" t="s">
        <v>44</v>
      </c>
      <c r="F419" t="s">
        <v>28</v>
      </c>
      <c r="G419">
        <v>7458.66</v>
      </c>
      <c r="H419">
        <v>2000</v>
      </c>
      <c r="I419">
        <v>5458.66</v>
      </c>
      <c r="J419">
        <v>73.185531999999995</v>
      </c>
    </row>
    <row r="420" spans="1:10" x14ac:dyDescent="0.3">
      <c r="A420" t="s">
        <v>630</v>
      </c>
      <c r="B420" t="s">
        <v>126</v>
      </c>
      <c r="C420" t="s">
        <v>64</v>
      </c>
      <c r="D420" s="1">
        <v>45566</v>
      </c>
      <c r="E420" t="s">
        <v>13</v>
      </c>
      <c r="F420" t="s">
        <v>28</v>
      </c>
      <c r="G420">
        <v>21578.17</v>
      </c>
      <c r="H420">
        <v>2000</v>
      </c>
      <c r="I420">
        <v>19578.169999999998</v>
      </c>
      <c r="J420">
        <v>90.731373000000005</v>
      </c>
    </row>
    <row r="421" spans="1:10" x14ac:dyDescent="0.3">
      <c r="A421" t="s">
        <v>631</v>
      </c>
      <c r="B421" t="s">
        <v>174</v>
      </c>
      <c r="C421" t="s">
        <v>12</v>
      </c>
      <c r="D421" s="1">
        <v>45531</v>
      </c>
      <c r="E421" t="s">
        <v>47</v>
      </c>
      <c r="F421" t="s">
        <v>28</v>
      </c>
      <c r="G421">
        <v>49842.53</v>
      </c>
      <c r="H421">
        <v>2000</v>
      </c>
      <c r="I421">
        <v>47842.53</v>
      </c>
      <c r="J421">
        <v>95.987363000000002</v>
      </c>
    </row>
    <row r="422" spans="1:10" x14ac:dyDescent="0.3">
      <c r="A422" t="s">
        <v>632</v>
      </c>
      <c r="B422" t="s">
        <v>412</v>
      </c>
      <c r="C422" t="s">
        <v>64</v>
      </c>
      <c r="D422" s="1">
        <v>45553</v>
      </c>
      <c r="E422" t="s">
        <v>24</v>
      </c>
      <c r="F422" t="s">
        <v>32</v>
      </c>
      <c r="G422">
        <v>8745.99</v>
      </c>
      <c r="H422">
        <v>30000</v>
      </c>
      <c r="I422">
        <v>-21254.01</v>
      </c>
      <c r="J422">
        <v>-243.014341</v>
      </c>
    </row>
    <row r="423" spans="1:10" x14ac:dyDescent="0.3">
      <c r="A423" t="s">
        <v>633</v>
      </c>
      <c r="B423" t="s">
        <v>136</v>
      </c>
      <c r="C423" t="s">
        <v>12</v>
      </c>
      <c r="D423" s="1">
        <v>45487</v>
      </c>
      <c r="E423" t="s">
        <v>31</v>
      </c>
      <c r="F423" t="s">
        <v>28</v>
      </c>
      <c r="G423">
        <v>23101.75</v>
      </c>
      <c r="H423">
        <v>2000</v>
      </c>
      <c r="I423">
        <v>21101.75</v>
      </c>
      <c r="J423">
        <v>91.342646999999999</v>
      </c>
    </row>
    <row r="424" spans="1:10" x14ac:dyDescent="0.3">
      <c r="A424" t="s">
        <v>634</v>
      </c>
      <c r="B424" t="s">
        <v>424</v>
      </c>
      <c r="C424" t="s">
        <v>40</v>
      </c>
      <c r="D424" s="1">
        <v>45493</v>
      </c>
      <c r="E424" t="s">
        <v>31</v>
      </c>
      <c r="F424" t="s">
        <v>19</v>
      </c>
      <c r="G424">
        <v>34303.300000000003</v>
      </c>
      <c r="H424">
        <v>12000</v>
      </c>
      <c r="I424">
        <v>22303.3</v>
      </c>
      <c r="J424">
        <v>65.017943000000002</v>
      </c>
    </row>
    <row r="425" spans="1:10" x14ac:dyDescent="0.3">
      <c r="A425" t="s">
        <v>635</v>
      </c>
      <c r="B425" t="s">
        <v>486</v>
      </c>
      <c r="C425" t="s">
        <v>40</v>
      </c>
      <c r="D425" s="1">
        <v>45449</v>
      </c>
      <c r="E425" t="s">
        <v>41</v>
      </c>
      <c r="F425" t="s">
        <v>28</v>
      </c>
      <c r="G425">
        <v>18147.830000000002</v>
      </c>
      <c r="H425">
        <v>2000</v>
      </c>
      <c r="I425">
        <v>16147.83</v>
      </c>
      <c r="J425">
        <v>88.979399000000001</v>
      </c>
    </row>
    <row r="426" spans="1:10" x14ac:dyDescent="0.3">
      <c r="A426" t="s">
        <v>636</v>
      </c>
      <c r="B426" t="s">
        <v>59</v>
      </c>
      <c r="C426" t="s">
        <v>40</v>
      </c>
      <c r="D426" s="1">
        <v>45521</v>
      </c>
      <c r="E426" t="s">
        <v>47</v>
      </c>
      <c r="F426" t="s">
        <v>28</v>
      </c>
      <c r="G426">
        <v>16852.310000000001</v>
      </c>
      <c r="H426">
        <v>2000</v>
      </c>
      <c r="I426">
        <v>14852.31</v>
      </c>
      <c r="J426">
        <v>88.132191000000006</v>
      </c>
    </row>
    <row r="427" spans="1:10" x14ac:dyDescent="0.3">
      <c r="A427" t="s">
        <v>637</v>
      </c>
      <c r="B427" t="s">
        <v>16</v>
      </c>
      <c r="C427" t="s">
        <v>17</v>
      </c>
      <c r="D427" s="1">
        <v>45541</v>
      </c>
      <c r="E427" t="s">
        <v>24</v>
      </c>
      <c r="F427" t="s">
        <v>28</v>
      </c>
      <c r="G427">
        <v>31736.41</v>
      </c>
      <c r="H427">
        <v>2000</v>
      </c>
      <c r="I427">
        <v>29736.41</v>
      </c>
      <c r="J427">
        <v>93.698089999999993</v>
      </c>
    </row>
    <row r="428" spans="1:10" x14ac:dyDescent="0.3">
      <c r="A428" t="s">
        <v>638</v>
      </c>
      <c r="B428" t="s">
        <v>245</v>
      </c>
      <c r="C428" t="s">
        <v>17</v>
      </c>
      <c r="D428" s="1">
        <v>45585</v>
      </c>
      <c r="E428" t="s">
        <v>13</v>
      </c>
      <c r="F428" t="s">
        <v>14</v>
      </c>
      <c r="G428">
        <v>602</v>
      </c>
      <c r="H428">
        <v>500</v>
      </c>
      <c r="I428">
        <v>102</v>
      </c>
      <c r="J428">
        <v>16.943522000000002</v>
      </c>
    </row>
    <row r="429" spans="1:10" x14ac:dyDescent="0.3">
      <c r="A429" t="s">
        <v>639</v>
      </c>
      <c r="B429" t="s">
        <v>334</v>
      </c>
      <c r="C429" t="s">
        <v>17</v>
      </c>
      <c r="D429" s="1">
        <v>45646</v>
      </c>
      <c r="E429" t="s">
        <v>95</v>
      </c>
      <c r="F429" t="s">
        <v>19</v>
      </c>
      <c r="G429">
        <v>10498.73</v>
      </c>
      <c r="H429">
        <v>12000</v>
      </c>
      <c r="I429">
        <v>-1501.27</v>
      </c>
      <c r="J429">
        <v>-14.299538999999999</v>
      </c>
    </row>
    <row r="430" spans="1:10" x14ac:dyDescent="0.3">
      <c r="A430" t="s">
        <v>640</v>
      </c>
      <c r="B430" t="s">
        <v>124</v>
      </c>
      <c r="C430" t="s">
        <v>64</v>
      </c>
      <c r="D430" s="1">
        <v>45311</v>
      </c>
      <c r="E430" t="s">
        <v>44</v>
      </c>
      <c r="F430" t="s">
        <v>32</v>
      </c>
      <c r="G430">
        <v>23839.83</v>
      </c>
      <c r="H430">
        <v>30000</v>
      </c>
      <c r="I430">
        <v>-6160.17</v>
      </c>
      <c r="J430">
        <v>-25.839824</v>
      </c>
    </row>
    <row r="431" spans="1:10" x14ac:dyDescent="0.3">
      <c r="A431" t="s">
        <v>641</v>
      </c>
      <c r="B431" t="s">
        <v>532</v>
      </c>
      <c r="C431" t="s">
        <v>12</v>
      </c>
      <c r="D431" s="1">
        <v>45302</v>
      </c>
      <c r="E431" t="s">
        <v>44</v>
      </c>
      <c r="F431" t="s">
        <v>32</v>
      </c>
      <c r="G431">
        <v>47057.71</v>
      </c>
      <c r="H431">
        <v>30000</v>
      </c>
      <c r="I431">
        <v>17057.71</v>
      </c>
      <c r="J431">
        <v>36.248491000000001</v>
      </c>
    </row>
    <row r="432" spans="1:10" x14ac:dyDescent="0.3">
      <c r="A432" t="s">
        <v>642</v>
      </c>
      <c r="B432" t="s">
        <v>159</v>
      </c>
      <c r="C432" t="s">
        <v>12</v>
      </c>
      <c r="D432" s="1">
        <v>45384</v>
      </c>
      <c r="E432" t="s">
        <v>27</v>
      </c>
      <c r="F432" t="s">
        <v>14</v>
      </c>
      <c r="G432">
        <v>1542.3</v>
      </c>
      <c r="H432">
        <v>500</v>
      </c>
      <c r="I432">
        <v>1042.3</v>
      </c>
      <c r="J432">
        <v>67.580886000000007</v>
      </c>
    </row>
    <row r="433" spans="1:10" x14ac:dyDescent="0.3">
      <c r="A433" t="s">
        <v>643</v>
      </c>
      <c r="B433" t="s">
        <v>545</v>
      </c>
      <c r="C433" t="s">
        <v>40</v>
      </c>
      <c r="D433" s="1">
        <v>45591</v>
      </c>
      <c r="E433" t="s">
        <v>13</v>
      </c>
      <c r="F433" t="s">
        <v>14</v>
      </c>
      <c r="G433">
        <v>24370.01</v>
      </c>
      <c r="H433">
        <v>500</v>
      </c>
      <c r="I433">
        <v>23870.01</v>
      </c>
      <c r="J433">
        <v>97.948297999999994</v>
      </c>
    </row>
    <row r="434" spans="1:10" x14ac:dyDescent="0.3">
      <c r="A434" t="s">
        <v>644</v>
      </c>
      <c r="B434" t="s">
        <v>270</v>
      </c>
      <c r="C434" t="s">
        <v>17</v>
      </c>
      <c r="D434" s="1">
        <v>45432</v>
      </c>
      <c r="E434" t="s">
        <v>37</v>
      </c>
      <c r="F434" t="s">
        <v>14</v>
      </c>
      <c r="G434">
        <v>5483.65</v>
      </c>
      <c r="H434">
        <v>500</v>
      </c>
      <c r="I434">
        <v>4983.6499999999996</v>
      </c>
      <c r="J434">
        <v>90.881985999999998</v>
      </c>
    </row>
    <row r="435" spans="1:10" x14ac:dyDescent="0.3">
      <c r="A435" t="s">
        <v>645</v>
      </c>
      <c r="B435" t="s">
        <v>97</v>
      </c>
      <c r="C435" t="s">
        <v>40</v>
      </c>
      <c r="D435" s="1">
        <v>45397</v>
      </c>
      <c r="E435" t="s">
        <v>27</v>
      </c>
      <c r="F435" t="s">
        <v>32</v>
      </c>
      <c r="G435">
        <v>972.85</v>
      </c>
      <c r="H435">
        <v>30000</v>
      </c>
      <c r="I435">
        <v>-29027.15</v>
      </c>
      <c r="J435">
        <v>-2983.723082</v>
      </c>
    </row>
    <row r="436" spans="1:10" x14ac:dyDescent="0.3">
      <c r="A436" t="s">
        <v>646</v>
      </c>
      <c r="B436" t="s">
        <v>72</v>
      </c>
      <c r="C436" t="s">
        <v>64</v>
      </c>
      <c r="D436" s="1">
        <v>45395</v>
      </c>
      <c r="E436" t="s">
        <v>27</v>
      </c>
      <c r="F436" t="s">
        <v>28</v>
      </c>
      <c r="G436">
        <v>36921.629999999997</v>
      </c>
      <c r="H436">
        <v>2000</v>
      </c>
      <c r="I436">
        <v>34921.629999999997</v>
      </c>
      <c r="J436">
        <v>94.583121000000006</v>
      </c>
    </row>
    <row r="437" spans="1:10" x14ac:dyDescent="0.3">
      <c r="A437" t="s">
        <v>647</v>
      </c>
      <c r="B437" t="s">
        <v>619</v>
      </c>
      <c r="C437" t="s">
        <v>40</v>
      </c>
      <c r="D437" s="1">
        <v>45629</v>
      </c>
      <c r="E437" t="s">
        <v>95</v>
      </c>
      <c r="F437" t="s">
        <v>14</v>
      </c>
      <c r="G437">
        <v>7503.01</v>
      </c>
      <c r="H437">
        <v>500</v>
      </c>
      <c r="I437">
        <v>7003.01</v>
      </c>
      <c r="J437">
        <v>93.336008000000007</v>
      </c>
    </row>
    <row r="438" spans="1:10" x14ac:dyDescent="0.3">
      <c r="A438" t="s">
        <v>648</v>
      </c>
      <c r="B438" t="s">
        <v>263</v>
      </c>
      <c r="C438" t="s">
        <v>64</v>
      </c>
      <c r="D438" s="1">
        <v>45517</v>
      </c>
      <c r="E438" t="s">
        <v>47</v>
      </c>
      <c r="F438" t="s">
        <v>32</v>
      </c>
      <c r="G438">
        <v>29483.75</v>
      </c>
      <c r="H438">
        <v>30000</v>
      </c>
      <c r="I438">
        <v>-516.25</v>
      </c>
      <c r="J438">
        <v>-1.7509650000000001</v>
      </c>
    </row>
    <row r="439" spans="1:10" x14ac:dyDescent="0.3">
      <c r="A439" t="s">
        <v>649</v>
      </c>
      <c r="B439" t="s">
        <v>351</v>
      </c>
      <c r="C439" t="s">
        <v>40</v>
      </c>
      <c r="D439" s="1">
        <v>45421</v>
      </c>
      <c r="E439" t="s">
        <v>37</v>
      </c>
      <c r="F439" t="s">
        <v>19</v>
      </c>
      <c r="G439">
        <v>49803.34</v>
      </c>
      <c r="H439">
        <v>12000</v>
      </c>
      <c r="I439">
        <v>37803.339999999997</v>
      </c>
      <c r="J439">
        <v>75.905230000000003</v>
      </c>
    </row>
    <row r="440" spans="1:10" x14ac:dyDescent="0.3">
      <c r="A440" t="s">
        <v>650</v>
      </c>
      <c r="B440" t="s">
        <v>415</v>
      </c>
      <c r="C440" t="s">
        <v>40</v>
      </c>
      <c r="D440" s="1">
        <v>45520</v>
      </c>
      <c r="E440" t="s">
        <v>47</v>
      </c>
      <c r="F440" t="s">
        <v>19</v>
      </c>
      <c r="G440">
        <v>29883.63</v>
      </c>
      <c r="H440">
        <v>12000</v>
      </c>
      <c r="I440">
        <v>17883.63</v>
      </c>
      <c r="J440">
        <v>59.844236000000002</v>
      </c>
    </row>
    <row r="441" spans="1:10" x14ac:dyDescent="0.3">
      <c r="A441" t="s">
        <v>651</v>
      </c>
      <c r="B441" t="s">
        <v>268</v>
      </c>
      <c r="C441" t="s">
        <v>17</v>
      </c>
      <c r="D441" s="1">
        <v>45394</v>
      </c>
      <c r="E441" t="s">
        <v>27</v>
      </c>
      <c r="F441" t="s">
        <v>14</v>
      </c>
      <c r="G441">
        <v>10644.8</v>
      </c>
      <c r="H441">
        <v>500</v>
      </c>
      <c r="I441">
        <v>10144.799999999999</v>
      </c>
      <c r="J441">
        <v>95.302870999999996</v>
      </c>
    </row>
    <row r="442" spans="1:10" x14ac:dyDescent="0.3">
      <c r="A442" t="s">
        <v>652</v>
      </c>
      <c r="B442" t="s">
        <v>198</v>
      </c>
      <c r="C442" t="s">
        <v>17</v>
      </c>
      <c r="D442" s="1">
        <v>45613</v>
      </c>
      <c r="E442" t="s">
        <v>57</v>
      </c>
      <c r="F442" t="s">
        <v>19</v>
      </c>
      <c r="G442">
        <v>23861.85</v>
      </c>
      <c r="H442">
        <v>12000</v>
      </c>
      <c r="I442">
        <v>11861.85</v>
      </c>
      <c r="J442">
        <v>49.710521</v>
      </c>
    </row>
    <row r="443" spans="1:10" x14ac:dyDescent="0.3">
      <c r="A443" t="s">
        <v>653</v>
      </c>
      <c r="B443" t="s">
        <v>389</v>
      </c>
      <c r="C443" t="s">
        <v>12</v>
      </c>
      <c r="D443" s="1">
        <v>45474</v>
      </c>
      <c r="E443" t="s">
        <v>31</v>
      </c>
      <c r="F443" t="s">
        <v>28</v>
      </c>
      <c r="G443">
        <v>44037.68</v>
      </c>
      <c r="H443">
        <v>2000</v>
      </c>
      <c r="I443">
        <v>42037.68</v>
      </c>
      <c r="J443">
        <v>95.458434999999994</v>
      </c>
    </row>
    <row r="444" spans="1:10" x14ac:dyDescent="0.3">
      <c r="A444" t="s">
        <v>654</v>
      </c>
      <c r="B444" t="s">
        <v>655</v>
      </c>
      <c r="C444" t="s">
        <v>64</v>
      </c>
      <c r="D444" s="1">
        <v>45384</v>
      </c>
      <c r="E444" t="s">
        <v>27</v>
      </c>
      <c r="F444" t="s">
        <v>32</v>
      </c>
      <c r="G444">
        <v>41644.230000000003</v>
      </c>
      <c r="H444">
        <v>30000</v>
      </c>
      <c r="I444">
        <v>11644.23</v>
      </c>
      <c r="J444">
        <v>27.961209</v>
      </c>
    </row>
    <row r="445" spans="1:10" x14ac:dyDescent="0.3">
      <c r="A445" t="s">
        <v>656</v>
      </c>
      <c r="B445" t="s">
        <v>657</v>
      </c>
      <c r="C445" t="s">
        <v>64</v>
      </c>
      <c r="D445" s="1">
        <v>45465</v>
      </c>
      <c r="E445" t="s">
        <v>41</v>
      </c>
      <c r="F445" t="s">
        <v>19</v>
      </c>
      <c r="G445">
        <v>8584.6</v>
      </c>
      <c r="H445">
        <v>12000</v>
      </c>
      <c r="I445">
        <v>-3415.4</v>
      </c>
      <c r="J445">
        <v>-39.785196999999997</v>
      </c>
    </row>
    <row r="446" spans="1:10" x14ac:dyDescent="0.3">
      <c r="A446" t="s">
        <v>658</v>
      </c>
      <c r="B446" t="s">
        <v>23</v>
      </c>
      <c r="C446" t="s">
        <v>12</v>
      </c>
      <c r="D446" s="1">
        <v>45430</v>
      </c>
      <c r="E446" t="s">
        <v>37</v>
      </c>
      <c r="F446" t="s">
        <v>28</v>
      </c>
      <c r="G446">
        <v>27236.99</v>
      </c>
      <c r="H446">
        <v>2000</v>
      </c>
      <c r="I446">
        <v>25236.99</v>
      </c>
      <c r="J446">
        <v>92.657044999999997</v>
      </c>
    </row>
    <row r="447" spans="1:10" x14ac:dyDescent="0.3">
      <c r="A447" t="s">
        <v>659</v>
      </c>
      <c r="B447" t="s">
        <v>208</v>
      </c>
      <c r="C447" t="s">
        <v>12</v>
      </c>
      <c r="D447" s="1">
        <v>45466</v>
      </c>
      <c r="E447" t="s">
        <v>41</v>
      </c>
      <c r="F447" t="s">
        <v>32</v>
      </c>
      <c r="G447">
        <v>23003.64</v>
      </c>
      <c r="H447">
        <v>30000</v>
      </c>
      <c r="I447">
        <v>-6996.36</v>
      </c>
      <c r="J447">
        <v>-30.414142999999999</v>
      </c>
    </row>
    <row r="448" spans="1:10" x14ac:dyDescent="0.3">
      <c r="A448" t="s">
        <v>660</v>
      </c>
      <c r="B448" t="s">
        <v>583</v>
      </c>
      <c r="C448" t="s">
        <v>64</v>
      </c>
      <c r="D448" s="1">
        <v>45338</v>
      </c>
      <c r="E448" t="s">
        <v>49</v>
      </c>
      <c r="F448" t="s">
        <v>14</v>
      </c>
      <c r="G448">
        <v>46276.82</v>
      </c>
      <c r="H448">
        <v>500</v>
      </c>
      <c r="I448">
        <v>45776.82</v>
      </c>
      <c r="J448">
        <v>98.919544999999999</v>
      </c>
    </row>
    <row r="449" spans="1:10" x14ac:dyDescent="0.3">
      <c r="A449" t="s">
        <v>661</v>
      </c>
      <c r="B449" t="s">
        <v>193</v>
      </c>
      <c r="C449" t="s">
        <v>17</v>
      </c>
      <c r="D449" s="1">
        <v>45388</v>
      </c>
      <c r="E449" t="s">
        <v>27</v>
      </c>
      <c r="F449" t="s">
        <v>28</v>
      </c>
      <c r="G449">
        <v>2920.59</v>
      </c>
      <c r="H449">
        <v>2000</v>
      </c>
      <c r="I449">
        <v>920.59</v>
      </c>
      <c r="J449">
        <v>31.520686000000001</v>
      </c>
    </row>
    <row r="450" spans="1:10" x14ac:dyDescent="0.3">
      <c r="A450" t="s">
        <v>662</v>
      </c>
      <c r="B450" t="s">
        <v>111</v>
      </c>
      <c r="C450" t="s">
        <v>64</v>
      </c>
      <c r="D450" s="1">
        <v>45306</v>
      </c>
      <c r="E450" t="s">
        <v>44</v>
      </c>
      <c r="F450" t="s">
        <v>28</v>
      </c>
      <c r="G450">
        <v>47099.040000000001</v>
      </c>
      <c r="H450">
        <v>2000</v>
      </c>
      <c r="I450">
        <v>45099.040000000001</v>
      </c>
      <c r="J450">
        <v>95.753629000000004</v>
      </c>
    </row>
    <row r="451" spans="1:10" x14ac:dyDescent="0.3">
      <c r="A451" t="s">
        <v>663</v>
      </c>
      <c r="B451" t="s">
        <v>657</v>
      </c>
      <c r="C451" t="s">
        <v>64</v>
      </c>
      <c r="D451" s="1">
        <v>45395</v>
      </c>
      <c r="E451" t="s">
        <v>27</v>
      </c>
      <c r="F451" t="s">
        <v>19</v>
      </c>
      <c r="G451">
        <v>45882.43</v>
      </c>
      <c r="H451">
        <v>12000</v>
      </c>
      <c r="I451">
        <v>33882.43</v>
      </c>
      <c r="J451">
        <v>73.846198000000001</v>
      </c>
    </row>
    <row r="452" spans="1:10" x14ac:dyDescent="0.3">
      <c r="A452" t="s">
        <v>664</v>
      </c>
      <c r="B452" t="s">
        <v>446</v>
      </c>
      <c r="C452" t="s">
        <v>12</v>
      </c>
      <c r="D452" s="1">
        <v>45304</v>
      </c>
      <c r="E452" t="s">
        <v>44</v>
      </c>
      <c r="F452" t="s">
        <v>32</v>
      </c>
      <c r="G452">
        <v>16020.56</v>
      </c>
      <c r="H452">
        <v>30000</v>
      </c>
      <c r="I452">
        <v>-13979.44</v>
      </c>
      <c r="J452">
        <v>-87.259371999999999</v>
      </c>
    </row>
    <row r="453" spans="1:10" x14ac:dyDescent="0.3">
      <c r="A453" t="s">
        <v>665</v>
      </c>
      <c r="B453" t="s">
        <v>56</v>
      </c>
      <c r="C453" t="s">
        <v>40</v>
      </c>
      <c r="D453" s="1">
        <v>45292</v>
      </c>
      <c r="E453" t="s">
        <v>44</v>
      </c>
      <c r="F453" t="s">
        <v>19</v>
      </c>
      <c r="G453">
        <v>15398.91</v>
      </c>
      <c r="H453">
        <v>12000</v>
      </c>
      <c r="I453">
        <v>3398.91</v>
      </c>
      <c r="J453">
        <v>22.072406000000001</v>
      </c>
    </row>
    <row r="454" spans="1:10" x14ac:dyDescent="0.3">
      <c r="A454" t="s">
        <v>666</v>
      </c>
      <c r="B454" t="s">
        <v>441</v>
      </c>
      <c r="C454" t="s">
        <v>17</v>
      </c>
      <c r="D454" s="1">
        <v>45339</v>
      </c>
      <c r="E454" t="s">
        <v>49</v>
      </c>
      <c r="F454" t="s">
        <v>28</v>
      </c>
      <c r="G454">
        <v>4901.1099999999997</v>
      </c>
      <c r="H454">
        <v>2000</v>
      </c>
      <c r="I454">
        <v>2901.11</v>
      </c>
      <c r="J454">
        <v>59.192917999999999</v>
      </c>
    </row>
    <row r="455" spans="1:10" x14ac:dyDescent="0.3">
      <c r="A455" t="s">
        <v>667</v>
      </c>
      <c r="B455" t="s">
        <v>448</v>
      </c>
      <c r="C455" t="s">
        <v>40</v>
      </c>
      <c r="D455" s="1">
        <v>45457</v>
      </c>
      <c r="E455" t="s">
        <v>41</v>
      </c>
      <c r="F455" t="s">
        <v>14</v>
      </c>
      <c r="G455">
        <v>21697.8</v>
      </c>
      <c r="H455">
        <v>500</v>
      </c>
      <c r="I455">
        <v>21197.8</v>
      </c>
      <c r="J455">
        <v>97.695618999999994</v>
      </c>
    </row>
    <row r="456" spans="1:10" x14ac:dyDescent="0.3">
      <c r="A456" t="s">
        <v>668</v>
      </c>
      <c r="B456" t="s">
        <v>61</v>
      </c>
      <c r="C456" t="s">
        <v>12</v>
      </c>
      <c r="D456" s="1">
        <v>45418</v>
      </c>
      <c r="E456" t="s">
        <v>37</v>
      </c>
      <c r="F456" t="s">
        <v>14</v>
      </c>
      <c r="G456">
        <v>47786.49</v>
      </c>
      <c r="H456">
        <v>500</v>
      </c>
      <c r="I456">
        <v>47286.49</v>
      </c>
      <c r="J456">
        <v>98.953678999999994</v>
      </c>
    </row>
    <row r="457" spans="1:10" x14ac:dyDescent="0.3">
      <c r="A457" t="s">
        <v>669</v>
      </c>
      <c r="B457" t="s">
        <v>152</v>
      </c>
      <c r="C457" t="s">
        <v>17</v>
      </c>
      <c r="D457" s="1">
        <v>45367</v>
      </c>
      <c r="E457" t="s">
        <v>18</v>
      </c>
      <c r="F457" t="s">
        <v>28</v>
      </c>
      <c r="G457">
        <v>47015.31</v>
      </c>
      <c r="H457">
        <v>2000</v>
      </c>
      <c r="I457">
        <v>45015.31</v>
      </c>
      <c r="J457">
        <v>95.746066999999996</v>
      </c>
    </row>
    <row r="458" spans="1:10" x14ac:dyDescent="0.3">
      <c r="A458" t="s">
        <v>670</v>
      </c>
      <c r="B458" t="s">
        <v>191</v>
      </c>
      <c r="C458" t="s">
        <v>64</v>
      </c>
      <c r="D458" s="1">
        <v>45531</v>
      </c>
      <c r="E458" t="s">
        <v>47</v>
      </c>
      <c r="F458" t="s">
        <v>14</v>
      </c>
      <c r="G458">
        <v>19963.36</v>
      </c>
      <c r="H458">
        <v>500</v>
      </c>
      <c r="I458">
        <v>19463.36</v>
      </c>
      <c r="J458">
        <v>97.495412000000002</v>
      </c>
    </row>
    <row r="459" spans="1:10" x14ac:dyDescent="0.3">
      <c r="A459" t="s">
        <v>671</v>
      </c>
      <c r="B459" t="s">
        <v>672</v>
      </c>
      <c r="C459" t="s">
        <v>17</v>
      </c>
      <c r="D459" s="1">
        <v>45466</v>
      </c>
      <c r="E459" t="s">
        <v>41</v>
      </c>
      <c r="F459" t="s">
        <v>14</v>
      </c>
      <c r="G459">
        <v>5736.44</v>
      </c>
      <c r="H459">
        <v>500</v>
      </c>
      <c r="I459">
        <v>5236.4399999999996</v>
      </c>
      <c r="J459">
        <v>91.283793000000003</v>
      </c>
    </row>
    <row r="460" spans="1:10" x14ac:dyDescent="0.3">
      <c r="A460" t="s">
        <v>673</v>
      </c>
      <c r="B460" t="s">
        <v>84</v>
      </c>
      <c r="C460" t="s">
        <v>64</v>
      </c>
      <c r="D460" s="1">
        <v>45293</v>
      </c>
      <c r="E460" t="s">
        <v>44</v>
      </c>
      <c r="F460" t="s">
        <v>14</v>
      </c>
      <c r="G460">
        <v>44652.7</v>
      </c>
      <c r="H460">
        <v>500</v>
      </c>
      <c r="I460">
        <v>44152.7</v>
      </c>
      <c r="J460">
        <v>98.880246999999997</v>
      </c>
    </row>
    <row r="461" spans="1:10" x14ac:dyDescent="0.3">
      <c r="A461" t="s">
        <v>674</v>
      </c>
      <c r="B461" t="s">
        <v>167</v>
      </c>
      <c r="C461" t="s">
        <v>40</v>
      </c>
      <c r="D461" s="1">
        <v>45395</v>
      </c>
      <c r="E461" t="s">
        <v>27</v>
      </c>
      <c r="F461" t="s">
        <v>32</v>
      </c>
      <c r="G461">
        <v>3286.95</v>
      </c>
      <c r="H461">
        <v>30000</v>
      </c>
      <c r="I461">
        <v>-26713.05</v>
      </c>
      <c r="J461">
        <v>-812.70022400000005</v>
      </c>
    </row>
    <row r="462" spans="1:10" x14ac:dyDescent="0.3">
      <c r="A462" t="s">
        <v>675</v>
      </c>
      <c r="B462" t="s">
        <v>501</v>
      </c>
      <c r="C462" t="s">
        <v>17</v>
      </c>
      <c r="D462" s="1">
        <v>45431</v>
      </c>
      <c r="E462" t="s">
        <v>37</v>
      </c>
      <c r="F462" t="s">
        <v>19</v>
      </c>
      <c r="G462">
        <v>32153.040000000001</v>
      </c>
      <c r="H462">
        <v>12000</v>
      </c>
      <c r="I462">
        <v>20153.04</v>
      </c>
      <c r="J462">
        <v>62.678489999999996</v>
      </c>
    </row>
    <row r="463" spans="1:10" x14ac:dyDescent="0.3">
      <c r="A463" t="s">
        <v>676</v>
      </c>
      <c r="B463" t="s">
        <v>132</v>
      </c>
      <c r="C463" t="s">
        <v>64</v>
      </c>
      <c r="D463" s="1">
        <v>45524</v>
      </c>
      <c r="E463" t="s">
        <v>47</v>
      </c>
      <c r="F463" t="s">
        <v>19</v>
      </c>
      <c r="G463">
        <v>11508.37</v>
      </c>
      <c r="H463">
        <v>12000</v>
      </c>
      <c r="I463">
        <v>-491.63</v>
      </c>
      <c r="J463">
        <v>-4.2719339999999999</v>
      </c>
    </row>
    <row r="464" spans="1:10" x14ac:dyDescent="0.3">
      <c r="A464" t="s">
        <v>677</v>
      </c>
      <c r="B464" t="s">
        <v>291</v>
      </c>
      <c r="C464" t="s">
        <v>12</v>
      </c>
      <c r="D464" s="1">
        <v>45586</v>
      </c>
      <c r="E464" t="s">
        <v>13</v>
      </c>
      <c r="F464" t="s">
        <v>28</v>
      </c>
      <c r="G464">
        <v>46156.28</v>
      </c>
      <c r="H464">
        <v>2000</v>
      </c>
      <c r="I464">
        <v>44156.28</v>
      </c>
      <c r="J464">
        <v>95.666894999999997</v>
      </c>
    </row>
    <row r="465" spans="1:10" x14ac:dyDescent="0.3">
      <c r="A465" t="s">
        <v>678</v>
      </c>
      <c r="B465" t="s">
        <v>428</v>
      </c>
      <c r="C465" t="s">
        <v>64</v>
      </c>
      <c r="D465" s="1">
        <v>45569</v>
      </c>
      <c r="E465" t="s">
        <v>13</v>
      </c>
      <c r="F465" t="s">
        <v>28</v>
      </c>
      <c r="G465">
        <v>18481.32</v>
      </c>
      <c r="H465">
        <v>2000</v>
      </c>
      <c r="I465">
        <v>16481.32</v>
      </c>
      <c r="J465">
        <v>89.178262000000004</v>
      </c>
    </row>
    <row r="466" spans="1:10" x14ac:dyDescent="0.3">
      <c r="A466" t="s">
        <v>679</v>
      </c>
      <c r="B466" t="s">
        <v>321</v>
      </c>
      <c r="C466" t="s">
        <v>64</v>
      </c>
      <c r="D466" s="1">
        <v>45397</v>
      </c>
      <c r="E466" t="s">
        <v>27</v>
      </c>
      <c r="F466" t="s">
        <v>19</v>
      </c>
      <c r="G466">
        <v>28477.57</v>
      </c>
      <c r="H466">
        <v>12000</v>
      </c>
      <c r="I466">
        <v>16477.57</v>
      </c>
      <c r="J466">
        <v>57.861573</v>
      </c>
    </row>
    <row r="467" spans="1:10" x14ac:dyDescent="0.3">
      <c r="A467" t="s">
        <v>680</v>
      </c>
      <c r="B467" t="s">
        <v>155</v>
      </c>
      <c r="C467" t="s">
        <v>40</v>
      </c>
      <c r="D467" s="1">
        <v>45350</v>
      </c>
      <c r="E467" t="s">
        <v>49</v>
      </c>
      <c r="F467" t="s">
        <v>28</v>
      </c>
      <c r="G467">
        <v>47959.24</v>
      </c>
      <c r="H467">
        <v>2000</v>
      </c>
      <c r="I467">
        <v>45959.24</v>
      </c>
      <c r="J467">
        <v>95.829791999999998</v>
      </c>
    </row>
    <row r="468" spans="1:10" x14ac:dyDescent="0.3">
      <c r="A468" t="s">
        <v>681</v>
      </c>
      <c r="B468" t="s">
        <v>157</v>
      </c>
      <c r="C468" t="s">
        <v>64</v>
      </c>
      <c r="D468" s="1">
        <v>45623</v>
      </c>
      <c r="E468" t="s">
        <v>57</v>
      </c>
      <c r="F468" t="s">
        <v>14</v>
      </c>
      <c r="G468">
        <v>4336.32</v>
      </c>
      <c r="H468">
        <v>500</v>
      </c>
      <c r="I468">
        <v>3836.32</v>
      </c>
      <c r="J468">
        <v>88.469486000000003</v>
      </c>
    </row>
    <row r="469" spans="1:10" x14ac:dyDescent="0.3">
      <c r="A469" t="s">
        <v>682</v>
      </c>
      <c r="B469" t="s">
        <v>683</v>
      </c>
      <c r="C469" t="s">
        <v>40</v>
      </c>
      <c r="D469" s="1">
        <v>45319</v>
      </c>
      <c r="E469" t="s">
        <v>44</v>
      </c>
      <c r="F469" t="s">
        <v>28</v>
      </c>
      <c r="G469">
        <v>26483.4</v>
      </c>
      <c r="H469">
        <v>2000</v>
      </c>
      <c r="I469">
        <v>24483.4</v>
      </c>
      <c r="J469">
        <v>92.448099999999997</v>
      </c>
    </row>
    <row r="470" spans="1:10" x14ac:dyDescent="0.3">
      <c r="A470" t="s">
        <v>684</v>
      </c>
      <c r="B470" t="s">
        <v>128</v>
      </c>
      <c r="C470" t="s">
        <v>17</v>
      </c>
      <c r="D470" s="1">
        <v>45338</v>
      </c>
      <c r="E470" t="s">
        <v>49</v>
      </c>
      <c r="F470" t="s">
        <v>32</v>
      </c>
      <c r="G470">
        <v>43790.21</v>
      </c>
      <c r="H470">
        <v>30000</v>
      </c>
      <c r="I470">
        <v>13790.21</v>
      </c>
      <c r="J470">
        <v>31.491537000000001</v>
      </c>
    </row>
    <row r="471" spans="1:10" x14ac:dyDescent="0.3">
      <c r="A471" t="s">
        <v>685</v>
      </c>
      <c r="B471" t="s">
        <v>377</v>
      </c>
      <c r="C471" t="s">
        <v>17</v>
      </c>
      <c r="D471" s="1">
        <v>45645</v>
      </c>
      <c r="E471" t="s">
        <v>95</v>
      </c>
      <c r="F471" t="s">
        <v>14</v>
      </c>
      <c r="G471">
        <v>39595.980000000003</v>
      </c>
      <c r="H471">
        <v>500</v>
      </c>
      <c r="I471">
        <v>39095.980000000003</v>
      </c>
      <c r="J471">
        <v>98.737245999999999</v>
      </c>
    </row>
    <row r="472" spans="1:10" x14ac:dyDescent="0.3">
      <c r="A472" t="s">
        <v>686</v>
      </c>
      <c r="B472" t="s">
        <v>572</v>
      </c>
      <c r="C472" t="s">
        <v>40</v>
      </c>
      <c r="D472" s="1">
        <v>45442</v>
      </c>
      <c r="E472" t="s">
        <v>37</v>
      </c>
      <c r="F472" t="s">
        <v>28</v>
      </c>
      <c r="G472">
        <v>47555.27</v>
      </c>
      <c r="H472">
        <v>2000</v>
      </c>
      <c r="I472">
        <v>45555.27</v>
      </c>
      <c r="J472">
        <v>95.794366999999994</v>
      </c>
    </row>
    <row r="473" spans="1:10" x14ac:dyDescent="0.3">
      <c r="A473" t="s">
        <v>687</v>
      </c>
      <c r="B473" t="s">
        <v>66</v>
      </c>
      <c r="C473" t="s">
        <v>40</v>
      </c>
      <c r="D473" s="1">
        <v>45471</v>
      </c>
      <c r="E473" t="s">
        <v>41</v>
      </c>
      <c r="F473" t="s">
        <v>14</v>
      </c>
      <c r="G473">
        <v>6706.16</v>
      </c>
      <c r="H473">
        <v>500</v>
      </c>
      <c r="I473">
        <v>6206.16</v>
      </c>
      <c r="J473">
        <v>92.544167999999999</v>
      </c>
    </row>
    <row r="474" spans="1:10" x14ac:dyDescent="0.3">
      <c r="A474" t="s">
        <v>688</v>
      </c>
      <c r="B474" t="s">
        <v>389</v>
      </c>
      <c r="C474" t="s">
        <v>12</v>
      </c>
      <c r="D474" s="1">
        <v>45333</v>
      </c>
      <c r="E474" t="s">
        <v>49</v>
      </c>
      <c r="F474" t="s">
        <v>28</v>
      </c>
      <c r="G474">
        <v>20159.439999999999</v>
      </c>
      <c r="H474">
        <v>2000</v>
      </c>
      <c r="I474">
        <v>18159.439999999999</v>
      </c>
      <c r="J474">
        <v>90.079088999999996</v>
      </c>
    </row>
    <row r="475" spans="1:10" x14ac:dyDescent="0.3">
      <c r="A475" t="s">
        <v>689</v>
      </c>
      <c r="B475" t="s">
        <v>690</v>
      </c>
      <c r="C475" t="s">
        <v>64</v>
      </c>
      <c r="D475" s="1">
        <v>45317</v>
      </c>
      <c r="E475" t="s">
        <v>44</v>
      </c>
      <c r="F475" t="s">
        <v>32</v>
      </c>
      <c r="G475">
        <v>40075.65</v>
      </c>
      <c r="H475">
        <v>30000</v>
      </c>
      <c r="I475">
        <v>10075.65</v>
      </c>
      <c r="J475">
        <v>25.141576000000001</v>
      </c>
    </row>
    <row r="476" spans="1:10" x14ac:dyDescent="0.3">
      <c r="A476" t="s">
        <v>691</v>
      </c>
      <c r="B476" t="s">
        <v>70</v>
      </c>
      <c r="C476" t="s">
        <v>64</v>
      </c>
      <c r="D476" s="1">
        <v>45360</v>
      </c>
      <c r="E476" t="s">
        <v>18</v>
      </c>
      <c r="F476" t="s">
        <v>28</v>
      </c>
      <c r="G476">
        <v>47339.27</v>
      </c>
      <c r="H476">
        <v>2000</v>
      </c>
      <c r="I476">
        <v>45339.27</v>
      </c>
      <c r="J476">
        <v>95.775177999999997</v>
      </c>
    </row>
    <row r="477" spans="1:10" x14ac:dyDescent="0.3">
      <c r="A477" t="s">
        <v>692</v>
      </c>
      <c r="B477" t="s">
        <v>249</v>
      </c>
      <c r="C477" t="s">
        <v>64</v>
      </c>
      <c r="D477" s="1">
        <v>45593</v>
      </c>
      <c r="E477" t="s">
        <v>13</v>
      </c>
      <c r="F477" t="s">
        <v>14</v>
      </c>
      <c r="G477">
        <v>21547.54</v>
      </c>
      <c r="H477">
        <v>500</v>
      </c>
      <c r="I477">
        <v>21047.54</v>
      </c>
      <c r="J477">
        <v>97.679548999999994</v>
      </c>
    </row>
    <row r="478" spans="1:10" x14ac:dyDescent="0.3">
      <c r="A478" t="s">
        <v>693</v>
      </c>
      <c r="B478" t="s">
        <v>72</v>
      </c>
      <c r="C478" t="s">
        <v>64</v>
      </c>
      <c r="D478" s="1">
        <v>45487</v>
      </c>
      <c r="E478" t="s">
        <v>31</v>
      </c>
      <c r="F478" t="s">
        <v>14</v>
      </c>
      <c r="G478">
        <v>13678.58</v>
      </c>
      <c r="H478">
        <v>500</v>
      </c>
      <c r="I478">
        <v>13178.58</v>
      </c>
      <c r="J478">
        <v>96.344650000000001</v>
      </c>
    </row>
    <row r="479" spans="1:10" x14ac:dyDescent="0.3">
      <c r="A479" t="s">
        <v>694</v>
      </c>
      <c r="B479" t="s">
        <v>128</v>
      </c>
      <c r="C479" t="s">
        <v>17</v>
      </c>
      <c r="D479" s="1">
        <v>45581</v>
      </c>
      <c r="E479" t="s">
        <v>13</v>
      </c>
      <c r="F479" t="s">
        <v>19</v>
      </c>
      <c r="G479">
        <v>24355.18</v>
      </c>
      <c r="H479">
        <v>12000</v>
      </c>
      <c r="I479">
        <v>12355.18</v>
      </c>
      <c r="J479">
        <v>50.729166999999997</v>
      </c>
    </row>
    <row r="480" spans="1:10" x14ac:dyDescent="0.3">
      <c r="A480" t="s">
        <v>695</v>
      </c>
      <c r="B480" t="s">
        <v>170</v>
      </c>
      <c r="C480" t="s">
        <v>64</v>
      </c>
      <c r="D480" s="1">
        <v>45601</v>
      </c>
      <c r="E480" t="s">
        <v>57</v>
      </c>
      <c r="F480" t="s">
        <v>19</v>
      </c>
      <c r="G480">
        <v>34493.629999999997</v>
      </c>
      <c r="H480">
        <v>12000</v>
      </c>
      <c r="I480">
        <v>22493.63</v>
      </c>
      <c r="J480">
        <v>65.210967999999994</v>
      </c>
    </row>
    <row r="481" spans="1:10" x14ac:dyDescent="0.3">
      <c r="A481" t="s">
        <v>696</v>
      </c>
      <c r="B481" t="s">
        <v>206</v>
      </c>
      <c r="C481" t="s">
        <v>40</v>
      </c>
      <c r="D481" s="1">
        <v>45358</v>
      </c>
      <c r="E481" t="s">
        <v>18</v>
      </c>
      <c r="F481" t="s">
        <v>32</v>
      </c>
      <c r="G481">
        <v>44293.58</v>
      </c>
      <c r="H481">
        <v>30000</v>
      </c>
      <c r="I481">
        <v>14293.58</v>
      </c>
      <c r="J481">
        <v>32.270094</v>
      </c>
    </row>
    <row r="482" spans="1:10" x14ac:dyDescent="0.3">
      <c r="A482" t="s">
        <v>697</v>
      </c>
      <c r="B482" t="s">
        <v>113</v>
      </c>
      <c r="C482" t="s">
        <v>17</v>
      </c>
      <c r="D482" s="1">
        <v>45538</v>
      </c>
      <c r="E482" t="s">
        <v>24</v>
      </c>
      <c r="F482" t="s">
        <v>19</v>
      </c>
      <c r="G482">
        <v>35578.120000000003</v>
      </c>
      <c r="H482">
        <v>12000</v>
      </c>
      <c r="I482">
        <v>23578.12</v>
      </c>
      <c r="J482">
        <v>66.271405000000001</v>
      </c>
    </row>
    <row r="483" spans="1:10" x14ac:dyDescent="0.3">
      <c r="A483" t="s">
        <v>698</v>
      </c>
      <c r="B483" t="s">
        <v>419</v>
      </c>
      <c r="C483" t="s">
        <v>64</v>
      </c>
      <c r="D483" s="1">
        <v>45583</v>
      </c>
      <c r="E483" t="s">
        <v>13</v>
      </c>
      <c r="F483" t="s">
        <v>19</v>
      </c>
      <c r="G483">
        <v>48885.63</v>
      </c>
      <c r="H483">
        <v>12000</v>
      </c>
      <c r="I483">
        <v>36885.629999999997</v>
      </c>
      <c r="J483">
        <v>75.452909000000005</v>
      </c>
    </row>
    <row r="484" spans="1:10" x14ac:dyDescent="0.3">
      <c r="A484" t="s">
        <v>699</v>
      </c>
      <c r="B484" t="s">
        <v>21</v>
      </c>
      <c r="C484" t="s">
        <v>17</v>
      </c>
      <c r="D484" s="1">
        <v>45619</v>
      </c>
      <c r="E484" t="s">
        <v>57</v>
      </c>
      <c r="F484" t="s">
        <v>14</v>
      </c>
      <c r="G484">
        <v>45327.44</v>
      </c>
      <c r="H484">
        <v>500</v>
      </c>
      <c r="I484">
        <v>44827.44</v>
      </c>
      <c r="J484">
        <v>98.896915000000007</v>
      </c>
    </row>
    <row r="485" spans="1:10" x14ac:dyDescent="0.3">
      <c r="A485" t="s">
        <v>700</v>
      </c>
      <c r="B485" t="s">
        <v>311</v>
      </c>
      <c r="C485" t="s">
        <v>64</v>
      </c>
      <c r="D485" s="1">
        <v>45499</v>
      </c>
      <c r="E485" t="s">
        <v>31</v>
      </c>
      <c r="F485" t="s">
        <v>14</v>
      </c>
      <c r="G485">
        <v>13261.13</v>
      </c>
      <c r="H485">
        <v>500</v>
      </c>
      <c r="I485">
        <v>12761.13</v>
      </c>
      <c r="J485">
        <v>96.229581999999994</v>
      </c>
    </row>
    <row r="486" spans="1:10" x14ac:dyDescent="0.3">
      <c r="A486" t="s">
        <v>701</v>
      </c>
      <c r="B486" t="s">
        <v>438</v>
      </c>
      <c r="C486" t="s">
        <v>64</v>
      </c>
      <c r="D486" s="1">
        <v>45566</v>
      </c>
      <c r="E486" t="s">
        <v>13</v>
      </c>
      <c r="F486" t="s">
        <v>28</v>
      </c>
      <c r="G486">
        <v>30104.89</v>
      </c>
      <c r="H486">
        <v>2000</v>
      </c>
      <c r="I486">
        <v>28104.89</v>
      </c>
      <c r="J486">
        <v>93.356560999999999</v>
      </c>
    </row>
    <row r="487" spans="1:10" x14ac:dyDescent="0.3">
      <c r="A487" t="s">
        <v>702</v>
      </c>
      <c r="B487" t="s">
        <v>202</v>
      </c>
      <c r="C487" t="s">
        <v>12</v>
      </c>
      <c r="D487" s="1">
        <v>45533</v>
      </c>
      <c r="E487" t="s">
        <v>47</v>
      </c>
      <c r="F487" t="s">
        <v>14</v>
      </c>
      <c r="G487">
        <v>16759.72</v>
      </c>
      <c r="H487">
        <v>500</v>
      </c>
      <c r="I487">
        <v>16259.72</v>
      </c>
      <c r="J487">
        <v>97.016656999999995</v>
      </c>
    </row>
    <row r="488" spans="1:10" x14ac:dyDescent="0.3">
      <c r="A488" t="s">
        <v>703</v>
      </c>
      <c r="B488" t="s">
        <v>247</v>
      </c>
      <c r="C488" t="s">
        <v>40</v>
      </c>
      <c r="D488" s="1">
        <v>45640</v>
      </c>
      <c r="E488" t="s">
        <v>95</v>
      </c>
      <c r="F488" t="s">
        <v>32</v>
      </c>
      <c r="G488">
        <v>39605.68</v>
      </c>
      <c r="H488">
        <v>30000</v>
      </c>
      <c r="I488">
        <v>9605.68</v>
      </c>
      <c r="J488">
        <v>24.253288999999999</v>
      </c>
    </row>
    <row r="489" spans="1:10" x14ac:dyDescent="0.3">
      <c r="A489" t="s">
        <v>704</v>
      </c>
      <c r="B489" t="s">
        <v>683</v>
      </c>
      <c r="C489" t="s">
        <v>40</v>
      </c>
      <c r="D489" s="1">
        <v>45586</v>
      </c>
      <c r="E489" t="s">
        <v>13</v>
      </c>
      <c r="F489" t="s">
        <v>32</v>
      </c>
      <c r="G489">
        <v>30267.32</v>
      </c>
      <c r="H489">
        <v>30000</v>
      </c>
      <c r="I489">
        <v>267.32</v>
      </c>
      <c r="J489">
        <v>0.88319700000000001</v>
      </c>
    </row>
    <row r="490" spans="1:10" x14ac:dyDescent="0.3">
      <c r="A490" t="s">
        <v>705</v>
      </c>
      <c r="B490" t="s">
        <v>276</v>
      </c>
      <c r="C490" t="s">
        <v>40</v>
      </c>
      <c r="D490" s="1">
        <v>45357</v>
      </c>
      <c r="E490" t="s">
        <v>18</v>
      </c>
      <c r="F490" t="s">
        <v>28</v>
      </c>
      <c r="G490">
        <v>4622.47</v>
      </c>
      <c r="H490">
        <v>2000</v>
      </c>
      <c r="I490">
        <v>2622.47</v>
      </c>
      <c r="J490">
        <v>56.733089</v>
      </c>
    </row>
    <row r="491" spans="1:10" x14ac:dyDescent="0.3">
      <c r="A491" t="s">
        <v>706</v>
      </c>
      <c r="B491" t="s">
        <v>257</v>
      </c>
      <c r="C491" t="s">
        <v>12</v>
      </c>
      <c r="D491" s="1">
        <v>45313</v>
      </c>
      <c r="E491" t="s">
        <v>44</v>
      </c>
      <c r="F491" t="s">
        <v>19</v>
      </c>
      <c r="G491">
        <v>47686.22</v>
      </c>
      <c r="H491">
        <v>12000</v>
      </c>
      <c r="I491">
        <v>35686.22</v>
      </c>
      <c r="J491">
        <v>74.835498000000001</v>
      </c>
    </row>
    <row r="492" spans="1:10" x14ac:dyDescent="0.3">
      <c r="A492" t="s">
        <v>707</v>
      </c>
      <c r="B492" t="s">
        <v>126</v>
      </c>
      <c r="C492" t="s">
        <v>64</v>
      </c>
      <c r="D492" s="1">
        <v>45541</v>
      </c>
      <c r="E492" t="s">
        <v>24</v>
      </c>
      <c r="F492" t="s">
        <v>32</v>
      </c>
      <c r="G492">
        <v>48420.38</v>
      </c>
      <c r="H492">
        <v>30000</v>
      </c>
      <c r="I492">
        <v>18420.38</v>
      </c>
      <c r="J492">
        <v>38.042617999999997</v>
      </c>
    </row>
    <row r="493" spans="1:10" x14ac:dyDescent="0.3">
      <c r="A493" t="s">
        <v>708</v>
      </c>
      <c r="B493" t="s">
        <v>276</v>
      </c>
      <c r="C493" t="s">
        <v>40</v>
      </c>
      <c r="D493" s="1">
        <v>45561</v>
      </c>
      <c r="E493" t="s">
        <v>24</v>
      </c>
      <c r="F493" t="s">
        <v>28</v>
      </c>
      <c r="G493">
        <v>16816.98</v>
      </c>
      <c r="H493">
        <v>2000</v>
      </c>
      <c r="I493">
        <v>14816.98</v>
      </c>
      <c r="J493">
        <v>88.107258000000002</v>
      </c>
    </row>
    <row r="494" spans="1:10" x14ac:dyDescent="0.3">
      <c r="A494" t="s">
        <v>709</v>
      </c>
      <c r="B494" t="s">
        <v>16</v>
      </c>
      <c r="C494" t="s">
        <v>17</v>
      </c>
      <c r="D494" s="1">
        <v>45473</v>
      </c>
      <c r="E494" t="s">
        <v>41</v>
      </c>
      <c r="F494" t="s">
        <v>14</v>
      </c>
      <c r="G494">
        <v>23401.08</v>
      </c>
      <c r="H494">
        <v>500</v>
      </c>
      <c r="I494">
        <v>22901.08</v>
      </c>
      <c r="J494">
        <v>97.863346000000007</v>
      </c>
    </row>
    <row r="495" spans="1:10" x14ac:dyDescent="0.3">
      <c r="A495" t="s">
        <v>710</v>
      </c>
      <c r="B495" t="s">
        <v>174</v>
      </c>
      <c r="C495" t="s">
        <v>12</v>
      </c>
      <c r="D495" s="1">
        <v>45437</v>
      </c>
      <c r="E495" t="s">
        <v>37</v>
      </c>
      <c r="F495" t="s">
        <v>19</v>
      </c>
      <c r="G495">
        <v>14567.59</v>
      </c>
      <c r="H495">
        <v>12000</v>
      </c>
      <c r="I495">
        <v>2567.59</v>
      </c>
      <c r="J495">
        <v>17.625359</v>
      </c>
    </row>
    <row r="496" spans="1:10" x14ac:dyDescent="0.3">
      <c r="A496" t="s">
        <v>711</v>
      </c>
      <c r="B496" t="s">
        <v>417</v>
      </c>
      <c r="C496" t="s">
        <v>12</v>
      </c>
      <c r="D496" s="1">
        <v>45376</v>
      </c>
      <c r="E496" t="s">
        <v>18</v>
      </c>
      <c r="F496" t="s">
        <v>14</v>
      </c>
      <c r="G496">
        <v>35237.269999999997</v>
      </c>
      <c r="H496">
        <v>500</v>
      </c>
      <c r="I496">
        <v>34737.269999999997</v>
      </c>
      <c r="J496">
        <v>98.581047999999996</v>
      </c>
    </row>
    <row r="497" spans="1:10" x14ac:dyDescent="0.3">
      <c r="A497" t="s">
        <v>712</v>
      </c>
      <c r="B497" t="s">
        <v>713</v>
      </c>
      <c r="C497" t="s">
        <v>40</v>
      </c>
      <c r="D497" s="1">
        <v>45329</v>
      </c>
      <c r="E497" t="s">
        <v>49</v>
      </c>
      <c r="F497" t="s">
        <v>32</v>
      </c>
      <c r="G497">
        <v>19543.32</v>
      </c>
      <c r="H497">
        <v>30000</v>
      </c>
      <c r="I497">
        <v>-10456.68</v>
      </c>
      <c r="J497">
        <v>-53.505136</v>
      </c>
    </row>
    <row r="498" spans="1:10" x14ac:dyDescent="0.3">
      <c r="A498" t="s">
        <v>714</v>
      </c>
      <c r="B498" t="s">
        <v>103</v>
      </c>
      <c r="C498" t="s">
        <v>12</v>
      </c>
      <c r="D498" s="1">
        <v>45318</v>
      </c>
      <c r="E498" t="s">
        <v>44</v>
      </c>
      <c r="F498" t="s">
        <v>19</v>
      </c>
      <c r="G498">
        <v>48245.25</v>
      </c>
      <c r="H498">
        <v>12000</v>
      </c>
      <c r="I498">
        <v>36245.25</v>
      </c>
      <c r="J498">
        <v>75.127084999999994</v>
      </c>
    </row>
    <row r="499" spans="1:10" x14ac:dyDescent="0.3">
      <c r="A499" t="s">
        <v>715</v>
      </c>
      <c r="B499" t="s">
        <v>672</v>
      </c>
      <c r="C499" t="s">
        <v>17</v>
      </c>
      <c r="D499" s="1">
        <v>45314</v>
      </c>
      <c r="E499" t="s">
        <v>44</v>
      </c>
      <c r="F499" t="s">
        <v>14</v>
      </c>
      <c r="G499">
        <v>47216.97</v>
      </c>
      <c r="H499">
        <v>500</v>
      </c>
      <c r="I499">
        <v>46716.97</v>
      </c>
      <c r="J499">
        <v>98.941058999999996</v>
      </c>
    </row>
    <row r="500" spans="1:10" x14ac:dyDescent="0.3">
      <c r="A500" t="s">
        <v>716</v>
      </c>
      <c r="B500" t="s">
        <v>21</v>
      </c>
      <c r="C500" t="s">
        <v>17</v>
      </c>
      <c r="D500" s="1">
        <v>45424</v>
      </c>
      <c r="E500" t="s">
        <v>37</v>
      </c>
      <c r="F500" t="s">
        <v>32</v>
      </c>
      <c r="G500">
        <v>5937.18</v>
      </c>
      <c r="H500">
        <v>30000</v>
      </c>
      <c r="I500">
        <v>-24062.82</v>
      </c>
      <c r="J500">
        <v>-405.29039</v>
      </c>
    </row>
    <row r="501" spans="1:10" x14ac:dyDescent="0.3">
      <c r="A501" t="s">
        <v>717</v>
      </c>
      <c r="B501" t="s">
        <v>34</v>
      </c>
      <c r="C501" t="s">
        <v>12</v>
      </c>
      <c r="D501" s="1">
        <v>45479</v>
      </c>
      <c r="E501" t="s">
        <v>31</v>
      </c>
      <c r="F501" t="s">
        <v>32</v>
      </c>
      <c r="G501">
        <v>18120.240000000002</v>
      </c>
      <c r="H501">
        <v>30000</v>
      </c>
      <c r="I501">
        <v>-11879.76</v>
      </c>
      <c r="J501">
        <v>-65.560721000000001</v>
      </c>
    </row>
    <row r="502" spans="1:10" x14ac:dyDescent="0.3">
      <c r="A502" t="s">
        <v>718</v>
      </c>
      <c r="B502" t="s">
        <v>393</v>
      </c>
      <c r="C502" t="s">
        <v>64</v>
      </c>
      <c r="D502" s="1">
        <v>45530</v>
      </c>
      <c r="E502" t="s">
        <v>47</v>
      </c>
      <c r="F502" t="s">
        <v>32</v>
      </c>
      <c r="G502">
        <v>19115.990000000002</v>
      </c>
      <c r="H502">
        <v>30000</v>
      </c>
      <c r="I502">
        <v>-10884.01</v>
      </c>
      <c r="J502">
        <v>-56.936680000000003</v>
      </c>
    </row>
    <row r="503" spans="1:10" x14ac:dyDescent="0.3">
      <c r="A503" t="s">
        <v>719</v>
      </c>
      <c r="B503" t="s">
        <v>720</v>
      </c>
      <c r="C503" t="s">
        <v>40</v>
      </c>
      <c r="D503" s="1">
        <v>45301</v>
      </c>
      <c r="E503" t="s">
        <v>44</v>
      </c>
      <c r="F503" t="s">
        <v>28</v>
      </c>
      <c r="G503">
        <v>27372.12</v>
      </c>
      <c r="H503">
        <v>2000</v>
      </c>
      <c r="I503">
        <v>25372.12</v>
      </c>
      <c r="J503">
        <v>92.693295000000006</v>
      </c>
    </row>
    <row r="504" spans="1:10" x14ac:dyDescent="0.3">
      <c r="A504" t="s">
        <v>721</v>
      </c>
      <c r="B504" t="s">
        <v>288</v>
      </c>
      <c r="C504" t="s">
        <v>17</v>
      </c>
      <c r="D504" s="1">
        <v>45470</v>
      </c>
      <c r="E504" t="s">
        <v>41</v>
      </c>
      <c r="F504" t="s">
        <v>28</v>
      </c>
      <c r="G504">
        <v>13187.67</v>
      </c>
      <c r="H504">
        <v>2000</v>
      </c>
      <c r="I504">
        <v>11187.67</v>
      </c>
      <c r="J504">
        <v>84.834318999999994</v>
      </c>
    </row>
    <row r="505" spans="1:10" x14ac:dyDescent="0.3">
      <c r="A505" t="s">
        <v>722</v>
      </c>
      <c r="B505" t="s">
        <v>221</v>
      </c>
      <c r="C505" t="s">
        <v>64</v>
      </c>
      <c r="D505" s="1">
        <v>45357</v>
      </c>
      <c r="E505" t="s">
        <v>18</v>
      </c>
      <c r="F505" t="s">
        <v>28</v>
      </c>
      <c r="G505">
        <v>34889.31</v>
      </c>
      <c r="H505">
        <v>2000</v>
      </c>
      <c r="I505">
        <v>32889.31</v>
      </c>
      <c r="J505">
        <v>94.267584999999997</v>
      </c>
    </row>
    <row r="506" spans="1:10" x14ac:dyDescent="0.3">
      <c r="A506" t="s">
        <v>723</v>
      </c>
      <c r="B506" t="s">
        <v>351</v>
      </c>
      <c r="C506" t="s">
        <v>40</v>
      </c>
      <c r="D506" s="1">
        <v>45567</v>
      </c>
      <c r="E506" t="s">
        <v>13</v>
      </c>
      <c r="F506" t="s">
        <v>19</v>
      </c>
      <c r="G506">
        <v>41635.24</v>
      </c>
      <c r="H506">
        <v>12000</v>
      </c>
      <c r="I506">
        <v>29635.24</v>
      </c>
      <c r="J506">
        <v>71.178261000000006</v>
      </c>
    </row>
    <row r="507" spans="1:10" x14ac:dyDescent="0.3">
      <c r="A507" t="s">
        <v>724</v>
      </c>
      <c r="B507" t="s">
        <v>59</v>
      </c>
      <c r="C507" t="s">
        <v>40</v>
      </c>
      <c r="D507" s="1">
        <v>45505</v>
      </c>
      <c r="E507" t="s">
        <v>47</v>
      </c>
      <c r="F507" t="s">
        <v>19</v>
      </c>
      <c r="G507">
        <v>18376.919999999998</v>
      </c>
      <c r="H507">
        <v>12000</v>
      </c>
      <c r="I507">
        <v>6376.92</v>
      </c>
      <c r="J507">
        <v>34.700701000000002</v>
      </c>
    </row>
    <row r="508" spans="1:10" x14ac:dyDescent="0.3">
      <c r="A508" t="s">
        <v>725</v>
      </c>
      <c r="B508" t="s">
        <v>52</v>
      </c>
      <c r="C508" t="s">
        <v>17</v>
      </c>
      <c r="D508" s="1">
        <v>45333</v>
      </c>
      <c r="E508" t="s">
        <v>49</v>
      </c>
      <c r="F508" t="s">
        <v>14</v>
      </c>
      <c r="G508">
        <v>23094.93</v>
      </c>
      <c r="H508">
        <v>500</v>
      </c>
      <c r="I508">
        <v>22594.93</v>
      </c>
      <c r="J508">
        <v>97.835023000000007</v>
      </c>
    </row>
    <row r="509" spans="1:10" x14ac:dyDescent="0.3">
      <c r="A509" t="s">
        <v>726</v>
      </c>
      <c r="B509" t="s">
        <v>72</v>
      </c>
      <c r="C509" t="s">
        <v>64</v>
      </c>
      <c r="D509" s="1">
        <v>45544</v>
      </c>
      <c r="E509" t="s">
        <v>24</v>
      </c>
      <c r="F509" t="s">
        <v>28</v>
      </c>
      <c r="G509">
        <v>33935.54</v>
      </c>
      <c r="H509">
        <v>2000</v>
      </c>
      <c r="I509">
        <v>31935.54</v>
      </c>
      <c r="J509">
        <v>94.106474000000006</v>
      </c>
    </row>
    <row r="510" spans="1:10" x14ac:dyDescent="0.3">
      <c r="A510" t="s">
        <v>727</v>
      </c>
      <c r="B510" t="s">
        <v>202</v>
      </c>
      <c r="C510" t="s">
        <v>12</v>
      </c>
      <c r="D510" s="1">
        <v>45338</v>
      </c>
      <c r="E510" t="s">
        <v>49</v>
      </c>
      <c r="F510" t="s">
        <v>32</v>
      </c>
      <c r="G510">
        <v>27350.15</v>
      </c>
      <c r="H510">
        <v>30000</v>
      </c>
      <c r="I510">
        <v>-2649.85</v>
      </c>
      <c r="J510">
        <v>-9.6886119999999991</v>
      </c>
    </row>
    <row r="511" spans="1:10" x14ac:dyDescent="0.3">
      <c r="A511" t="s">
        <v>728</v>
      </c>
      <c r="B511" t="s">
        <v>276</v>
      </c>
      <c r="C511" t="s">
        <v>40</v>
      </c>
      <c r="D511" s="1">
        <v>45614</v>
      </c>
      <c r="E511" t="s">
        <v>57</v>
      </c>
      <c r="F511" t="s">
        <v>32</v>
      </c>
      <c r="G511">
        <v>29640.77</v>
      </c>
      <c r="H511">
        <v>30000</v>
      </c>
      <c r="I511">
        <v>-359.23</v>
      </c>
      <c r="J511">
        <v>-1.211946</v>
      </c>
    </row>
    <row r="512" spans="1:10" x14ac:dyDescent="0.3">
      <c r="A512" t="s">
        <v>729</v>
      </c>
      <c r="B512" t="s">
        <v>204</v>
      </c>
      <c r="C512" t="s">
        <v>40</v>
      </c>
      <c r="D512" s="1">
        <v>45325</v>
      </c>
      <c r="E512" t="s">
        <v>49</v>
      </c>
      <c r="F512" t="s">
        <v>32</v>
      </c>
      <c r="G512">
        <v>8557.9599999999991</v>
      </c>
      <c r="H512">
        <v>30000</v>
      </c>
      <c r="I512">
        <v>-21442.04</v>
      </c>
      <c r="J512">
        <v>-250.55083200000001</v>
      </c>
    </row>
    <row r="513" spans="1:10" x14ac:dyDescent="0.3">
      <c r="A513" t="s">
        <v>730</v>
      </c>
      <c r="B513" t="s">
        <v>419</v>
      </c>
      <c r="C513" t="s">
        <v>64</v>
      </c>
      <c r="D513" s="1">
        <v>45503</v>
      </c>
      <c r="E513" t="s">
        <v>31</v>
      </c>
      <c r="F513" t="s">
        <v>32</v>
      </c>
      <c r="G513">
        <v>4785.12</v>
      </c>
      <c r="H513">
        <v>30000</v>
      </c>
      <c r="I513">
        <v>-25214.880000000001</v>
      </c>
      <c r="J513">
        <v>-526.94352500000002</v>
      </c>
    </row>
    <row r="514" spans="1:10" x14ac:dyDescent="0.3">
      <c r="A514" t="s">
        <v>731</v>
      </c>
      <c r="B514" t="s">
        <v>97</v>
      </c>
      <c r="C514" t="s">
        <v>40</v>
      </c>
      <c r="D514" s="1">
        <v>45400</v>
      </c>
      <c r="E514" t="s">
        <v>27</v>
      </c>
      <c r="F514" t="s">
        <v>32</v>
      </c>
      <c r="G514">
        <v>12967.52</v>
      </c>
      <c r="H514">
        <v>30000</v>
      </c>
      <c r="I514">
        <v>-17032.48</v>
      </c>
      <c r="J514">
        <v>-131.34724299999999</v>
      </c>
    </row>
    <row r="515" spans="1:10" x14ac:dyDescent="0.3">
      <c r="A515" t="s">
        <v>732</v>
      </c>
      <c r="B515" t="s">
        <v>655</v>
      </c>
      <c r="C515" t="s">
        <v>64</v>
      </c>
      <c r="D515" s="1">
        <v>45503</v>
      </c>
      <c r="E515" t="s">
        <v>31</v>
      </c>
      <c r="F515" t="s">
        <v>28</v>
      </c>
      <c r="G515">
        <v>48805.66</v>
      </c>
      <c r="H515">
        <v>2000</v>
      </c>
      <c r="I515">
        <v>46805.66</v>
      </c>
      <c r="J515">
        <v>95.902114999999995</v>
      </c>
    </row>
    <row r="516" spans="1:10" x14ac:dyDescent="0.3">
      <c r="A516" t="s">
        <v>733</v>
      </c>
      <c r="B516" t="s">
        <v>572</v>
      </c>
      <c r="C516" t="s">
        <v>40</v>
      </c>
      <c r="D516" s="1">
        <v>45616</v>
      </c>
      <c r="E516" t="s">
        <v>57</v>
      </c>
      <c r="F516" t="s">
        <v>32</v>
      </c>
      <c r="G516">
        <v>21746.880000000001</v>
      </c>
      <c r="H516">
        <v>30000</v>
      </c>
      <c r="I516">
        <v>-8253.1200000000008</v>
      </c>
      <c r="J516">
        <v>-37.950823</v>
      </c>
    </row>
    <row r="517" spans="1:10" x14ac:dyDescent="0.3">
      <c r="A517" t="s">
        <v>734</v>
      </c>
      <c r="B517" t="s">
        <v>393</v>
      </c>
      <c r="C517" t="s">
        <v>64</v>
      </c>
      <c r="D517" s="1">
        <v>45342</v>
      </c>
      <c r="E517" t="s">
        <v>49</v>
      </c>
      <c r="F517" t="s">
        <v>19</v>
      </c>
      <c r="G517">
        <v>1367.18</v>
      </c>
      <c r="H517">
        <v>12000</v>
      </c>
      <c r="I517">
        <v>-10632.82</v>
      </c>
      <c r="J517">
        <v>-777.71910100000002</v>
      </c>
    </row>
    <row r="518" spans="1:10" x14ac:dyDescent="0.3">
      <c r="A518" t="s">
        <v>735</v>
      </c>
      <c r="B518" t="s">
        <v>88</v>
      </c>
      <c r="C518" t="s">
        <v>17</v>
      </c>
      <c r="D518" s="1">
        <v>45483</v>
      </c>
      <c r="E518" t="s">
        <v>31</v>
      </c>
      <c r="F518" t="s">
        <v>19</v>
      </c>
      <c r="G518">
        <v>16599.36</v>
      </c>
      <c r="H518">
        <v>12000</v>
      </c>
      <c r="I518">
        <v>4599.3599999999997</v>
      </c>
      <c r="J518">
        <v>27.708055999999999</v>
      </c>
    </row>
    <row r="519" spans="1:10" x14ac:dyDescent="0.3">
      <c r="A519" t="s">
        <v>736</v>
      </c>
      <c r="B519" t="s">
        <v>145</v>
      </c>
      <c r="C519" t="s">
        <v>40</v>
      </c>
      <c r="D519" s="1">
        <v>45502</v>
      </c>
      <c r="E519" t="s">
        <v>31</v>
      </c>
      <c r="F519" t="s">
        <v>28</v>
      </c>
      <c r="G519">
        <v>36336.07</v>
      </c>
      <c r="H519">
        <v>2000</v>
      </c>
      <c r="I519">
        <v>34336.07</v>
      </c>
      <c r="J519">
        <v>94.495827000000006</v>
      </c>
    </row>
    <row r="520" spans="1:10" x14ac:dyDescent="0.3">
      <c r="A520" t="s">
        <v>737</v>
      </c>
      <c r="B520" t="s">
        <v>221</v>
      </c>
      <c r="C520" t="s">
        <v>64</v>
      </c>
      <c r="D520" s="1">
        <v>45494</v>
      </c>
      <c r="E520" t="s">
        <v>31</v>
      </c>
      <c r="F520" t="s">
        <v>28</v>
      </c>
      <c r="G520">
        <v>46555.12</v>
      </c>
      <c r="H520">
        <v>2000</v>
      </c>
      <c r="I520">
        <v>44555.12</v>
      </c>
      <c r="J520">
        <v>95.704016999999993</v>
      </c>
    </row>
    <row r="521" spans="1:10" x14ac:dyDescent="0.3">
      <c r="A521" t="s">
        <v>738</v>
      </c>
      <c r="B521" t="s">
        <v>278</v>
      </c>
      <c r="C521" t="s">
        <v>12</v>
      </c>
      <c r="D521" s="1">
        <v>45425</v>
      </c>
      <c r="E521" t="s">
        <v>37</v>
      </c>
      <c r="F521" t="s">
        <v>19</v>
      </c>
      <c r="G521">
        <v>23638.27</v>
      </c>
      <c r="H521">
        <v>12000</v>
      </c>
      <c r="I521">
        <v>11638.27</v>
      </c>
      <c r="J521">
        <v>49.234864000000002</v>
      </c>
    </row>
    <row r="522" spans="1:10" x14ac:dyDescent="0.3">
      <c r="A522" t="s">
        <v>739</v>
      </c>
      <c r="B522" t="s">
        <v>448</v>
      </c>
      <c r="C522" t="s">
        <v>40</v>
      </c>
      <c r="D522" s="1">
        <v>45429</v>
      </c>
      <c r="E522" t="s">
        <v>37</v>
      </c>
      <c r="F522" t="s">
        <v>19</v>
      </c>
      <c r="G522">
        <v>38061.56</v>
      </c>
      <c r="H522">
        <v>12000</v>
      </c>
      <c r="I522">
        <v>26061.56</v>
      </c>
      <c r="J522">
        <v>68.472127999999998</v>
      </c>
    </row>
    <row r="523" spans="1:10" x14ac:dyDescent="0.3">
      <c r="A523" t="s">
        <v>740</v>
      </c>
      <c r="B523" t="s">
        <v>406</v>
      </c>
      <c r="C523" t="s">
        <v>40</v>
      </c>
      <c r="D523" s="1">
        <v>45489</v>
      </c>
      <c r="E523" t="s">
        <v>31</v>
      </c>
      <c r="F523" t="s">
        <v>32</v>
      </c>
      <c r="G523">
        <v>31207.47</v>
      </c>
      <c r="H523">
        <v>30000</v>
      </c>
      <c r="I523">
        <v>1207.47</v>
      </c>
      <c r="J523">
        <v>3.86917</v>
      </c>
    </row>
    <row r="524" spans="1:10" x14ac:dyDescent="0.3">
      <c r="A524" t="s">
        <v>741</v>
      </c>
      <c r="B524" t="s">
        <v>742</v>
      </c>
      <c r="C524" t="s">
        <v>12</v>
      </c>
      <c r="D524" s="1">
        <v>45382</v>
      </c>
      <c r="E524" t="s">
        <v>18</v>
      </c>
      <c r="F524" t="s">
        <v>14</v>
      </c>
      <c r="G524">
        <v>16562.669999999998</v>
      </c>
      <c r="H524">
        <v>500</v>
      </c>
      <c r="I524">
        <v>16062.67</v>
      </c>
      <c r="J524">
        <v>96.981162999999995</v>
      </c>
    </row>
    <row r="525" spans="1:10" x14ac:dyDescent="0.3">
      <c r="A525" t="s">
        <v>743</v>
      </c>
      <c r="B525" t="s">
        <v>406</v>
      </c>
      <c r="C525" t="s">
        <v>40</v>
      </c>
      <c r="D525" s="1">
        <v>45621</v>
      </c>
      <c r="E525" t="s">
        <v>57</v>
      </c>
      <c r="F525" t="s">
        <v>14</v>
      </c>
      <c r="G525">
        <v>31031.85</v>
      </c>
      <c r="H525">
        <v>500</v>
      </c>
      <c r="I525">
        <v>30531.85</v>
      </c>
      <c r="J525">
        <v>98.388751999999997</v>
      </c>
    </row>
    <row r="526" spans="1:10" x14ac:dyDescent="0.3">
      <c r="A526" t="s">
        <v>744</v>
      </c>
      <c r="B526" t="s">
        <v>523</v>
      </c>
      <c r="C526" t="s">
        <v>64</v>
      </c>
      <c r="D526" s="1">
        <v>45307</v>
      </c>
      <c r="E526" t="s">
        <v>44</v>
      </c>
      <c r="F526" t="s">
        <v>14</v>
      </c>
      <c r="G526">
        <v>31754.71</v>
      </c>
      <c r="H526">
        <v>500</v>
      </c>
      <c r="I526">
        <v>31254.71</v>
      </c>
      <c r="J526">
        <v>98.425430000000006</v>
      </c>
    </row>
    <row r="527" spans="1:10" x14ac:dyDescent="0.3">
      <c r="A527" t="s">
        <v>745</v>
      </c>
      <c r="B527" t="s">
        <v>672</v>
      </c>
      <c r="C527" t="s">
        <v>17</v>
      </c>
      <c r="D527" s="1">
        <v>45609</v>
      </c>
      <c r="E527" t="s">
        <v>57</v>
      </c>
      <c r="F527" t="s">
        <v>14</v>
      </c>
      <c r="G527">
        <v>31954.26</v>
      </c>
      <c r="H527">
        <v>500</v>
      </c>
      <c r="I527">
        <v>31454.26</v>
      </c>
      <c r="J527">
        <v>98.435263000000006</v>
      </c>
    </row>
    <row r="528" spans="1:10" x14ac:dyDescent="0.3">
      <c r="A528" t="s">
        <v>746</v>
      </c>
      <c r="B528" t="s">
        <v>115</v>
      </c>
      <c r="C528" t="s">
        <v>17</v>
      </c>
      <c r="D528" s="1">
        <v>45607</v>
      </c>
      <c r="E528" t="s">
        <v>57</v>
      </c>
      <c r="F528" t="s">
        <v>14</v>
      </c>
      <c r="G528">
        <v>639.54</v>
      </c>
      <c r="H528">
        <v>500</v>
      </c>
      <c r="I528">
        <v>139.54</v>
      </c>
      <c r="J528">
        <v>21.818807</v>
      </c>
    </row>
    <row r="529" spans="1:10" x14ac:dyDescent="0.3">
      <c r="A529" t="s">
        <v>747</v>
      </c>
      <c r="B529" t="s">
        <v>402</v>
      </c>
      <c r="C529" t="s">
        <v>64</v>
      </c>
      <c r="D529" s="1">
        <v>45494</v>
      </c>
      <c r="E529" t="s">
        <v>31</v>
      </c>
      <c r="F529" t="s">
        <v>14</v>
      </c>
      <c r="G529">
        <v>12933.56</v>
      </c>
      <c r="H529">
        <v>500</v>
      </c>
      <c r="I529">
        <v>12433.56</v>
      </c>
      <c r="J529">
        <v>96.134088000000006</v>
      </c>
    </row>
    <row r="530" spans="1:10" x14ac:dyDescent="0.3">
      <c r="A530" t="s">
        <v>748</v>
      </c>
      <c r="B530" t="s">
        <v>225</v>
      </c>
      <c r="C530" t="s">
        <v>40</v>
      </c>
      <c r="D530" s="1">
        <v>45575</v>
      </c>
      <c r="E530" t="s">
        <v>13</v>
      </c>
      <c r="F530" t="s">
        <v>28</v>
      </c>
      <c r="G530">
        <v>6102.05</v>
      </c>
      <c r="H530">
        <v>2000</v>
      </c>
      <c r="I530">
        <v>4102.05</v>
      </c>
      <c r="J530">
        <v>67.224130000000002</v>
      </c>
    </row>
    <row r="531" spans="1:10" x14ac:dyDescent="0.3">
      <c r="A531" t="s">
        <v>749</v>
      </c>
      <c r="B531" t="s">
        <v>188</v>
      </c>
      <c r="C531" t="s">
        <v>12</v>
      </c>
      <c r="D531" s="1">
        <v>45354</v>
      </c>
      <c r="E531" t="s">
        <v>18</v>
      </c>
      <c r="F531" t="s">
        <v>19</v>
      </c>
      <c r="G531">
        <v>42162.92</v>
      </c>
      <c r="H531">
        <v>12000</v>
      </c>
      <c r="I531">
        <v>30162.92</v>
      </c>
      <c r="J531">
        <v>71.538972999999999</v>
      </c>
    </row>
    <row r="532" spans="1:10" x14ac:dyDescent="0.3">
      <c r="A532" t="s">
        <v>750</v>
      </c>
      <c r="B532" t="s">
        <v>619</v>
      </c>
      <c r="C532" t="s">
        <v>40</v>
      </c>
      <c r="D532" s="1">
        <v>45342</v>
      </c>
      <c r="E532" t="s">
        <v>49</v>
      </c>
      <c r="F532" t="s">
        <v>14</v>
      </c>
      <c r="G532">
        <v>42006.92</v>
      </c>
      <c r="H532">
        <v>500</v>
      </c>
      <c r="I532">
        <v>41506.92</v>
      </c>
      <c r="J532">
        <v>98.809719999999999</v>
      </c>
    </row>
    <row r="533" spans="1:10" x14ac:dyDescent="0.3">
      <c r="A533" t="s">
        <v>751</v>
      </c>
      <c r="B533" t="s">
        <v>255</v>
      </c>
      <c r="C533" t="s">
        <v>64</v>
      </c>
      <c r="D533" s="1">
        <v>45587</v>
      </c>
      <c r="E533" t="s">
        <v>13</v>
      </c>
      <c r="F533" t="s">
        <v>19</v>
      </c>
      <c r="G533">
        <v>49114.3</v>
      </c>
      <c r="H533">
        <v>12000</v>
      </c>
      <c r="I533">
        <v>37114.300000000003</v>
      </c>
      <c r="J533">
        <v>75.567196999999993</v>
      </c>
    </row>
    <row r="534" spans="1:10" x14ac:dyDescent="0.3">
      <c r="A534" t="s">
        <v>752</v>
      </c>
      <c r="B534" t="s">
        <v>66</v>
      </c>
      <c r="C534" t="s">
        <v>40</v>
      </c>
      <c r="D534" s="1">
        <v>45525</v>
      </c>
      <c r="E534" t="s">
        <v>47</v>
      </c>
      <c r="F534" t="s">
        <v>28</v>
      </c>
      <c r="G534">
        <v>20420.79</v>
      </c>
      <c r="H534">
        <v>2000</v>
      </c>
      <c r="I534">
        <v>18420.79</v>
      </c>
      <c r="J534">
        <v>90.206059999999994</v>
      </c>
    </row>
    <row r="535" spans="1:10" x14ac:dyDescent="0.3">
      <c r="A535" t="s">
        <v>753</v>
      </c>
      <c r="B535" t="s">
        <v>191</v>
      </c>
      <c r="C535" t="s">
        <v>64</v>
      </c>
      <c r="D535" s="1">
        <v>45299</v>
      </c>
      <c r="E535" t="s">
        <v>44</v>
      </c>
      <c r="F535" t="s">
        <v>28</v>
      </c>
      <c r="G535">
        <v>20392.3</v>
      </c>
      <c r="H535">
        <v>2000</v>
      </c>
      <c r="I535">
        <v>18392.3</v>
      </c>
      <c r="J535">
        <v>90.192376999999993</v>
      </c>
    </row>
    <row r="536" spans="1:10" x14ac:dyDescent="0.3">
      <c r="A536" t="s">
        <v>754</v>
      </c>
      <c r="B536" t="s">
        <v>466</v>
      </c>
      <c r="C536" t="s">
        <v>40</v>
      </c>
      <c r="D536" s="1">
        <v>45334</v>
      </c>
      <c r="E536" t="s">
        <v>49</v>
      </c>
      <c r="F536" t="s">
        <v>19</v>
      </c>
      <c r="G536">
        <v>888.35</v>
      </c>
      <c r="H536">
        <v>12000</v>
      </c>
      <c r="I536">
        <v>-11111.65</v>
      </c>
      <c r="J536">
        <v>-1250.8189339999999</v>
      </c>
    </row>
    <row r="537" spans="1:10" x14ac:dyDescent="0.3">
      <c r="A537" t="s">
        <v>755</v>
      </c>
      <c r="B537" t="s">
        <v>428</v>
      </c>
      <c r="C537" t="s">
        <v>64</v>
      </c>
      <c r="D537" s="1">
        <v>45510</v>
      </c>
      <c r="E537" t="s">
        <v>47</v>
      </c>
      <c r="F537" t="s">
        <v>28</v>
      </c>
      <c r="G537">
        <v>39496.769999999997</v>
      </c>
      <c r="H537">
        <v>2000</v>
      </c>
      <c r="I537">
        <v>37496.769999999997</v>
      </c>
      <c r="J537">
        <v>94.936295000000001</v>
      </c>
    </row>
    <row r="538" spans="1:10" x14ac:dyDescent="0.3">
      <c r="A538" t="s">
        <v>756</v>
      </c>
      <c r="B538" t="s">
        <v>97</v>
      </c>
      <c r="C538" t="s">
        <v>40</v>
      </c>
      <c r="D538" s="1">
        <v>45604</v>
      </c>
      <c r="E538" t="s">
        <v>57</v>
      </c>
      <c r="F538" t="s">
        <v>32</v>
      </c>
      <c r="G538">
        <v>26360.5</v>
      </c>
      <c r="H538">
        <v>30000</v>
      </c>
      <c r="I538">
        <v>-3639.5</v>
      </c>
      <c r="J538">
        <v>-13.806642999999999</v>
      </c>
    </row>
    <row r="539" spans="1:10" x14ac:dyDescent="0.3">
      <c r="A539" t="s">
        <v>757</v>
      </c>
      <c r="B539" t="s">
        <v>528</v>
      </c>
      <c r="C539" t="s">
        <v>17</v>
      </c>
      <c r="D539" s="1">
        <v>45640</v>
      </c>
      <c r="E539" t="s">
        <v>95</v>
      </c>
      <c r="F539" t="s">
        <v>19</v>
      </c>
      <c r="G539">
        <v>18532.759999999998</v>
      </c>
      <c r="H539">
        <v>12000</v>
      </c>
      <c r="I539">
        <v>6532.76</v>
      </c>
      <c r="J539">
        <v>35.249794999999999</v>
      </c>
    </row>
    <row r="540" spans="1:10" x14ac:dyDescent="0.3">
      <c r="A540" t="s">
        <v>758</v>
      </c>
      <c r="B540" t="s">
        <v>193</v>
      </c>
      <c r="C540" t="s">
        <v>17</v>
      </c>
      <c r="D540" s="1">
        <v>45608</v>
      </c>
      <c r="E540" t="s">
        <v>57</v>
      </c>
      <c r="F540" t="s">
        <v>28</v>
      </c>
      <c r="G540">
        <v>14716.48</v>
      </c>
      <c r="H540">
        <v>2000</v>
      </c>
      <c r="I540">
        <v>12716.48</v>
      </c>
      <c r="J540">
        <v>86.409794000000005</v>
      </c>
    </row>
    <row r="541" spans="1:10" x14ac:dyDescent="0.3">
      <c r="A541" t="s">
        <v>759</v>
      </c>
      <c r="B541" t="s">
        <v>157</v>
      </c>
      <c r="C541" t="s">
        <v>64</v>
      </c>
      <c r="D541" s="1">
        <v>45617</v>
      </c>
      <c r="E541" t="s">
        <v>57</v>
      </c>
      <c r="F541" t="s">
        <v>28</v>
      </c>
      <c r="G541">
        <v>37850.300000000003</v>
      </c>
      <c r="H541">
        <v>2000</v>
      </c>
      <c r="I541">
        <v>35850.300000000003</v>
      </c>
      <c r="J541">
        <v>94.716025999999999</v>
      </c>
    </row>
    <row r="542" spans="1:10" x14ac:dyDescent="0.3">
      <c r="A542" t="s">
        <v>760</v>
      </c>
      <c r="B542" t="s">
        <v>761</v>
      </c>
      <c r="C542" t="s">
        <v>64</v>
      </c>
      <c r="D542" s="1">
        <v>45577</v>
      </c>
      <c r="E542" t="s">
        <v>13</v>
      </c>
      <c r="F542" t="s">
        <v>19</v>
      </c>
      <c r="G542">
        <v>37589.79</v>
      </c>
      <c r="H542">
        <v>12000</v>
      </c>
      <c r="I542">
        <v>25589.79</v>
      </c>
      <c r="J542">
        <v>68.076437999999996</v>
      </c>
    </row>
    <row r="543" spans="1:10" x14ac:dyDescent="0.3">
      <c r="A543" t="s">
        <v>762</v>
      </c>
      <c r="B543" t="s">
        <v>124</v>
      </c>
      <c r="C543" t="s">
        <v>64</v>
      </c>
      <c r="D543" s="1">
        <v>45613</v>
      </c>
      <c r="E543" t="s">
        <v>57</v>
      </c>
      <c r="F543" t="s">
        <v>19</v>
      </c>
      <c r="G543">
        <v>31825.57</v>
      </c>
      <c r="H543">
        <v>12000</v>
      </c>
      <c r="I543">
        <v>19825.57</v>
      </c>
      <c r="J543">
        <v>62.294469999999997</v>
      </c>
    </row>
    <row r="544" spans="1:10" x14ac:dyDescent="0.3">
      <c r="A544" t="s">
        <v>763</v>
      </c>
      <c r="B544" t="s">
        <v>331</v>
      </c>
      <c r="C544" t="s">
        <v>12</v>
      </c>
      <c r="D544" s="1">
        <v>45584</v>
      </c>
      <c r="E544" t="s">
        <v>13</v>
      </c>
      <c r="F544" t="s">
        <v>32</v>
      </c>
      <c r="G544">
        <v>42896.34</v>
      </c>
      <c r="H544">
        <v>30000</v>
      </c>
      <c r="I544">
        <v>12896.34</v>
      </c>
      <c r="J544">
        <v>30.063963000000001</v>
      </c>
    </row>
    <row r="545" spans="1:10" x14ac:dyDescent="0.3">
      <c r="A545" t="s">
        <v>764</v>
      </c>
      <c r="B545" t="s">
        <v>139</v>
      </c>
      <c r="C545" t="s">
        <v>17</v>
      </c>
      <c r="D545" s="1">
        <v>45393</v>
      </c>
      <c r="E545" t="s">
        <v>27</v>
      </c>
      <c r="F545" t="s">
        <v>28</v>
      </c>
      <c r="G545">
        <v>22985.63</v>
      </c>
      <c r="H545">
        <v>2000</v>
      </c>
      <c r="I545">
        <v>20985.63</v>
      </c>
      <c r="J545">
        <v>91.298912000000001</v>
      </c>
    </row>
    <row r="546" spans="1:10" x14ac:dyDescent="0.3">
      <c r="A546" t="s">
        <v>765</v>
      </c>
      <c r="B546" t="s">
        <v>124</v>
      </c>
      <c r="C546" t="s">
        <v>64</v>
      </c>
      <c r="D546" s="1">
        <v>45441</v>
      </c>
      <c r="E546" t="s">
        <v>37</v>
      </c>
      <c r="F546" t="s">
        <v>14</v>
      </c>
      <c r="G546">
        <v>14495.23</v>
      </c>
      <c r="H546">
        <v>500</v>
      </c>
      <c r="I546">
        <v>13995.23</v>
      </c>
      <c r="J546">
        <v>96.550589000000002</v>
      </c>
    </row>
    <row r="547" spans="1:10" x14ac:dyDescent="0.3">
      <c r="A547" t="s">
        <v>766</v>
      </c>
      <c r="B547" t="s">
        <v>94</v>
      </c>
      <c r="C547" t="s">
        <v>17</v>
      </c>
      <c r="D547" s="1">
        <v>45307</v>
      </c>
      <c r="E547" t="s">
        <v>44</v>
      </c>
      <c r="F547" t="s">
        <v>19</v>
      </c>
      <c r="G547">
        <v>29458.74</v>
      </c>
      <c r="H547">
        <v>12000</v>
      </c>
      <c r="I547">
        <v>17458.740000000002</v>
      </c>
      <c r="J547">
        <v>59.265059999999998</v>
      </c>
    </row>
    <row r="548" spans="1:10" x14ac:dyDescent="0.3">
      <c r="A548" t="s">
        <v>767</v>
      </c>
      <c r="B548" t="s">
        <v>130</v>
      </c>
      <c r="C548" t="s">
        <v>40</v>
      </c>
      <c r="D548" s="1">
        <v>45466</v>
      </c>
      <c r="E548" t="s">
        <v>41</v>
      </c>
      <c r="F548" t="s">
        <v>28</v>
      </c>
      <c r="G548">
        <v>13799.49</v>
      </c>
      <c r="H548">
        <v>2000</v>
      </c>
      <c r="I548">
        <v>11799.49</v>
      </c>
      <c r="J548">
        <v>85.506710999999996</v>
      </c>
    </row>
    <row r="549" spans="1:10" x14ac:dyDescent="0.3">
      <c r="A549" t="s">
        <v>768</v>
      </c>
      <c r="B549" t="s">
        <v>208</v>
      </c>
      <c r="C549" t="s">
        <v>12</v>
      </c>
      <c r="D549" s="1">
        <v>45502</v>
      </c>
      <c r="E549" t="s">
        <v>31</v>
      </c>
      <c r="F549" t="s">
        <v>28</v>
      </c>
      <c r="G549">
        <v>30278.240000000002</v>
      </c>
      <c r="H549">
        <v>2000</v>
      </c>
      <c r="I549">
        <v>28278.240000000002</v>
      </c>
      <c r="J549">
        <v>93.394596000000007</v>
      </c>
    </row>
    <row r="550" spans="1:10" x14ac:dyDescent="0.3">
      <c r="A550" t="s">
        <v>769</v>
      </c>
      <c r="B550" t="s">
        <v>204</v>
      </c>
      <c r="C550" t="s">
        <v>40</v>
      </c>
      <c r="D550" s="1">
        <v>45535</v>
      </c>
      <c r="E550" t="s">
        <v>47</v>
      </c>
      <c r="F550" t="s">
        <v>14</v>
      </c>
      <c r="G550">
        <v>41635.129999999997</v>
      </c>
      <c r="H550">
        <v>500</v>
      </c>
      <c r="I550">
        <v>41135.129999999997</v>
      </c>
      <c r="J550">
        <v>98.799091000000004</v>
      </c>
    </row>
    <row r="551" spans="1:10" x14ac:dyDescent="0.3">
      <c r="A551" t="s">
        <v>770</v>
      </c>
      <c r="B551" t="s">
        <v>92</v>
      </c>
      <c r="C551" t="s">
        <v>12</v>
      </c>
      <c r="D551" s="1">
        <v>45479</v>
      </c>
      <c r="E551" t="s">
        <v>31</v>
      </c>
      <c r="F551" t="s">
        <v>28</v>
      </c>
      <c r="G551">
        <v>38704.81</v>
      </c>
      <c r="H551">
        <v>2000</v>
      </c>
      <c r="I551">
        <v>36704.81</v>
      </c>
      <c r="J551">
        <v>94.832684</v>
      </c>
    </row>
    <row r="552" spans="1:10" x14ac:dyDescent="0.3">
      <c r="A552" t="s">
        <v>771</v>
      </c>
      <c r="B552" t="s">
        <v>772</v>
      </c>
      <c r="C552" t="s">
        <v>17</v>
      </c>
      <c r="D552" s="1">
        <v>45650</v>
      </c>
      <c r="E552" t="s">
        <v>95</v>
      </c>
      <c r="F552" t="s">
        <v>32</v>
      </c>
      <c r="G552">
        <v>6760.1</v>
      </c>
      <c r="H552">
        <v>30000</v>
      </c>
      <c r="I552">
        <v>-23239.9</v>
      </c>
      <c r="J552">
        <v>-343.780417</v>
      </c>
    </row>
    <row r="553" spans="1:10" x14ac:dyDescent="0.3">
      <c r="A553" t="s">
        <v>773</v>
      </c>
      <c r="B553" t="s">
        <v>268</v>
      </c>
      <c r="C553" t="s">
        <v>17</v>
      </c>
      <c r="D553" s="1">
        <v>45557</v>
      </c>
      <c r="E553" t="s">
        <v>24</v>
      </c>
      <c r="F553" t="s">
        <v>32</v>
      </c>
      <c r="G553">
        <v>50376.81</v>
      </c>
      <c r="H553">
        <v>30000</v>
      </c>
      <c r="I553">
        <v>20376.810000000001</v>
      </c>
      <c r="J553">
        <v>40.448790000000002</v>
      </c>
    </row>
    <row r="554" spans="1:10" x14ac:dyDescent="0.3">
      <c r="A554" t="s">
        <v>774</v>
      </c>
      <c r="B554" t="s">
        <v>145</v>
      </c>
      <c r="C554" t="s">
        <v>40</v>
      </c>
      <c r="D554" s="1">
        <v>45423</v>
      </c>
      <c r="E554" t="s">
        <v>37</v>
      </c>
      <c r="F554" t="s">
        <v>28</v>
      </c>
      <c r="G554">
        <v>47594.89</v>
      </c>
      <c r="H554">
        <v>2000</v>
      </c>
      <c r="I554">
        <v>45594.89</v>
      </c>
      <c r="J554">
        <v>95.797867999999994</v>
      </c>
    </row>
    <row r="555" spans="1:10" x14ac:dyDescent="0.3">
      <c r="A555" t="s">
        <v>775</v>
      </c>
      <c r="B555" t="s">
        <v>441</v>
      </c>
      <c r="C555" t="s">
        <v>17</v>
      </c>
      <c r="D555" s="1">
        <v>45502</v>
      </c>
      <c r="E555" t="s">
        <v>31</v>
      </c>
      <c r="F555" t="s">
        <v>14</v>
      </c>
      <c r="G555">
        <v>45401.22</v>
      </c>
      <c r="H555">
        <v>500</v>
      </c>
      <c r="I555">
        <v>44901.22</v>
      </c>
      <c r="J555">
        <v>98.898707999999999</v>
      </c>
    </row>
    <row r="556" spans="1:10" x14ac:dyDescent="0.3">
      <c r="A556" t="s">
        <v>776</v>
      </c>
      <c r="B556" t="s">
        <v>486</v>
      </c>
      <c r="C556" t="s">
        <v>40</v>
      </c>
      <c r="D556" s="1">
        <v>45371</v>
      </c>
      <c r="E556" t="s">
        <v>18</v>
      </c>
      <c r="F556" t="s">
        <v>19</v>
      </c>
      <c r="G556">
        <v>35744.26</v>
      </c>
      <c r="H556">
        <v>12000</v>
      </c>
      <c r="I556">
        <v>23744.26</v>
      </c>
      <c r="J556">
        <v>66.428175999999993</v>
      </c>
    </row>
    <row r="557" spans="1:10" x14ac:dyDescent="0.3">
      <c r="A557" t="s">
        <v>777</v>
      </c>
      <c r="B557" t="s">
        <v>237</v>
      </c>
      <c r="C557" t="s">
        <v>40</v>
      </c>
      <c r="D557" s="1">
        <v>45608</v>
      </c>
      <c r="E557" t="s">
        <v>57</v>
      </c>
      <c r="F557" t="s">
        <v>32</v>
      </c>
      <c r="G557">
        <v>24781.51</v>
      </c>
      <c r="H557">
        <v>30000</v>
      </c>
      <c r="I557">
        <v>-5218.49</v>
      </c>
      <c r="J557">
        <v>-21.057998000000001</v>
      </c>
    </row>
    <row r="558" spans="1:10" x14ac:dyDescent="0.3">
      <c r="A558" t="s">
        <v>778</v>
      </c>
      <c r="B558" t="s">
        <v>221</v>
      </c>
      <c r="C558" t="s">
        <v>64</v>
      </c>
      <c r="D558" s="1">
        <v>45645</v>
      </c>
      <c r="E558" t="s">
        <v>95</v>
      </c>
      <c r="F558" t="s">
        <v>28</v>
      </c>
      <c r="G558">
        <v>1374.99</v>
      </c>
      <c r="H558">
        <v>2000</v>
      </c>
      <c r="I558">
        <v>-625.01</v>
      </c>
      <c r="J558">
        <v>-45.455603000000004</v>
      </c>
    </row>
    <row r="559" spans="1:10" x14ac:dyDescent="0.3">
      <c r="A559" t="s">
        <v>779</v>
      </c>
      <c r="B559" t="s">
        <v>130</v>
      </c>
      <c r="C559" t="s">
        <v>40</v>
      </c>
      <c r="D559" s="1">
        <v>45326</v>
      </c>
      <c r="E559" t="s">
        <v>49</v>
      </c>
      <c r="F559" t="s">
        <v>28</v>
      </c>
      <c r="G559">
        <v>40707.01</v>
      </c>
      <c r="H559">
        <v>2000</v>
      </c>
      <c r="I559">
        <v>38707.01</v>
      </c>
      <c r="J559">
        <v>95.086841000000007</v>
      </c>
    </row>
    <row r="560" spans="1:10" x14ac:dyDescent="0.3">
      <c r="A560" t="s">
        <v>780</v>
      </c>
      <c r="B560" t="s">
        <v>221</v>
      </c>
      <c r="C560" t="s">
        <v>64</v>
      </c>
      <c r="D560" s="1">
        <v>45510</v>
      </c>
      <c r="E560" t="s">
        <v>47</v>
      </c>
      <c r="F560" t="s">
        <v>28</v>
      </c>
      <c r="G560">
        <v>43222.26</v>
      </c>
      <c r="H560">
        <v>2000</v>
      </c>
      <c r="I560">
        <v>41222.26</v>
      </c>
      <c r="J560">
        <v>95.372754999999998</v>
      </c>
    </row>
    <row r="561" spans="1:10" x14ac:dyDescent="0.3">
      <c r="A561" t="s">
        <v>781</v>
      </c>
      <c r="B561" t="s">
        <v>215</v>
      </c>
      <c r="C561" t="s">
        <v>17</v>
      </c>
      <c r="D561" s="1">
        <v>45304</v>
      </c>
      <c r="E561" t="s">
        <v>44</v>
      </c>
      <c r="F561" t="s">
        <v>28</v>
      </c>
      <c r="G561">
        <v>45534.09</v>
      </c>
      <c r="H561">
        <v>2000</v>
      </c>
      <c r="I561">
        <v>43534.09</v>
      </c>
      <c r="J561">
        <v>95.607686000000001</v>
      </c>
    </row>
    <row r="562" spans="1:10" x14ac:dyDescent="0.3">
      <c r="A562" t="s">
        <v>782</v>
      </c>
      <c r="B562" t="s">
        <v>191</v>
      </c>
      <c r="C562" t="s">
        <v>64</v>
      </c>
      <c r="D562" s="1">
        <v>45622</v>
      </c>
      <c r="E562" t="s">
        <v>57</v>
      </c>
      <c r="F562" t="s">
        <v>32</v>
      </c>
      <c r="G562">
        <v>44270.77</v>
      </c>
      <c r="H562">
        <v>30000</v>
      </c>
      <c r="I562">
        <v>14270.77</v>
      </c>
      <c r="J562">
        <v>32.235196999999999</v>
      </c>
    </row>
    <row r="563" spans="1:10" x14ac:dyDescent="0.3">
      <c r="A563" t="s">
        <v>783</v>
      </c>
      <c r="B563" t="s">
        <v>316</v>
      </c>
      <c r="C563" t="s">
        <v>12</v>
      </c>
      <c r="D563" s="1">
        <v>45437</v>
      </c>
      <c r="E563" t="s">
        <v>37</v>
      </c>
      <c r="F563" t="s">
        <v>28</v>
      </c>
      <c r="G563">
        <v>19100.18</v>
      </c>
      <c r="H563">
        <v>2000</v>
      </c>
      <c r="I563">
        <v>17100.18</v>
      </c>
      <c r="J563">
        <v>89.528893999999994</v>
      </c>
    </row>
    <row r="564" spans="1:10" x14ac:dyDescent="0.3">
      <c r="A564" t="s">
        <v>784</v>
      </c>
      <c r="B564" t="s">
        <v>367</v>
      </c>
      <c r="C564" t="s">
        <v>40</v>
      </c>
      <c r="D564" s="1">
        <v>45442</v>
      </c>
      <c r="E564" t="s">
        <v>37</v>
      </c>
      <c r="F564" t="s">
        <v>28</v>
      </c>
      <c r="G564">
        <v>49471.7</v>
      </c>
      <c r="H564">
        <v>2000</v>
      </c>
      <c r="I564">
        <v>47471.7</v>
      </c>
      <c r="J564">
        <v>95.957284999999999</v>
      </c>
    </row>
    <row r="565" spans="1:10" x14ac:dyDescent="0.3">
      <c r="A565" t="s">
        <v>785</v>
      </c>
      <c r="B565" t="s">
        <v>772</v>
      </c>
      <c r="C565" t="s">
        <v>17</v>
      </c>
      <c r="D565" s="1">
        <v>45502</v>
      </c>
      <c r="E565" t="s">
        <v>31</v>
      </c>
      <c r="F565" t="s">
        <v>32</v>
      </c>
      <c r="G565">
        <v>13917.21</v>
      </c>
      <c r="H565">
        <v>30000</v>
      </c>
      <c r="I565">
        <v>-16082.79</v>
      </c>
      <c r="J565">
        <v>-115.560446</v>
      </c>
    </row>
    <row r="566" spans="1:10" x14ac:dyDescent="0.3">
      <c r="A566" t="s">
        <v>786</v>
      </c>
      <c r="B566" t="s">
        <v>233</v>
      </c>
      <c r="C566" t="s">
        <v>17</v>
      </c>
      <c r="D566" s="1">
        <v>45397</v>
      </c>
      <c r="E566" t="s">
        <v>27</v>
      </c>
      <c r="F566" t="s">
        <v>28</v>
      </c>
      <c r="G566">
        <v>40756.639999999999</v>
      </c>
      <c r="H566">
        <v>2000</v>
      </c>
      <c r="I566">
        <v>38756.639999999999</v>
      </c>
      <c r="J566">
        <v>95.092823999999993</v>
      </c>
    </row>
    <row r="567" spans="1:10" x14ac:dyDescent="0.3">
      <c r="A567" t="s">
        <v>787</v>
      </c>
      <c r="B567" t="s">
        <v>119</v>
      </c>
      <c r="C567" t="s">
        <v>12</v>
      </c>
      <c r="D567" s="1">
        <v>45306</v>
      </c>
      <c r="E567" t="s">
        <v>44</v>
      </c>
      <c r="F567" t="s">
        <v>32</v>
      </c>
      <c r="G567">
        <v>18662.38</v>
      </c>
      <c r="H567">
        <v>30000</v>
      </c>
      <c r="I567">
        <v>-11337.62</v>
      </c>
      <c r="J567">
        <v>-60.751201000000002</v>
      </c>
    </row>
    <row r="568" spans="1:10" x14ac:dyDescent="0.3">
      <c r="A568" t="s">
        <v>788</v>
      </c>
      <c r="B568" t="s">
        <v>268</v>
      </c>
      <c r="C568" t="s">
        <v>17</v>
      </c>
      <c r="D568" s="1">
        <v>45327</v>
      </c>
      <c r="E568" t="s">
        <v>49</v>
      </c>
      <c r="F568" t="s">
        <v>14</v>
      </c>
      <c r="G568">
        <v>7653.4</v>
      </c>
      <c r="H568">
        <v>500</v>
      </c>
      <c r="I568">
        <v>7153.4</v>
      </c>
      <c r="J568">
        <v>93.466955999999996</v>
      </c>
    </row>
    <row r="569" spans="1:10" x14ac:dyDescent="0.3">
      <c r="A569" t="s">
        <v>789</v>
      </c>
      <c r="B569" t="s">
        <v>59</v>
      </c>
      <c r="C569" t="s">
        <v>40</v>
      </c>
      <c r="D569" s="1">
        <v>45296</v>
      </c>
      <c r="E569" t="s">
        <v>44</v>
      </c>
      <c r="F569" t="s">
        <v>28</v>
      </c>
      <c r="G569">
        <v>38309.17</v>
      </c>
      <c r="H569">
        <v>2000</v>
      </c>
      <c r="I569">
        <v>36309.17</v>
      </c>
      <c r="J569">
        <v>94.779318000000004</v>
      </c>
    </row>
    <row r="570" spans="1:10" x14ac:dyDescent="0.3">
      <c r="A570" t="s">
        <v>790</v>
      </c>
      <c r="B570" t="s">
        <v>583</v>
      </c>
      <c r="C570" t="s">
        <v>64</v>
      </c>
      <c r="D570" s="1">
        <v>45648</v>
      </c>
      <c r="E570" t="s">
        <v>95</v>
      </c>
      <c r="F570" t="s">
        <v>32</v>
      </c>
      <c r="G570">
        <v>30752.92</v>
      </c>
      <c r="H570">
        <v>30000</v>
      </c>
      <c r="I570">
        <v>752.92</v>
      </c>
      <c r="J570">
        <v>2.4482879999999998</v>
      </c>
    </row>
    <row r="571" spans="1:10" x14ac:dyDescent="0.3">
      <c r="A571" t="s">
        <v>791</v>
      </c>
      <c r="B571" t="s">
        <v>285</v>
      </c>
      <c r="C571" t="s">
        <v>17</v>
      </c>
      <c r="D571" s="1">
        <v>45446</v>
      </c>
      <c r="E571" t="s">
        <v>41</v>
      </c>
      <c r="F571" t="s">
        <v>14</v>
      </c>
      <c r="G571">
        <v>35923.199999999997</v>
      </c>
      <c r="H571">
        <v>500</v>
      </c>
      <c r="I571">
        <v>35423.199999999997</v>
      </c>
      <c r="J571">
        <v>98.608142000000001</v>
      </c>
    </row>
    <row r="572" spans="1:10" x14ac:dyDescent="0.3">
      <c r="A572" t="s">
        <v>792</v>
      </c>
      <c r="B572" t="s">
        <v>481</v>
      </c>
      <c r="C572" t="s">
        <v>64</v>
      </c>
      <c r="D572" s="1">
        <v>45502</v>
      </c>
      <c r="E572" t="s">
        <v>31</v>
      </c>
      <c r="F572" t="s">
        <v>14</v>
      </c>
      <c r="G572">
        <v>48262.2</v>
      </c>
      <c r="H572">
        <v>500</v>
      </c>
      <c r="I572">
        <v>47762.2</v>
      </c>
      <c r="J572">
        <v>98.963993000000002</v>
      </c>
    </row>
    <row r="573" spans="1:10" x14ac:dyDescent="0.3">
      <c r="A573" t="s">
        <v>793</v>
      </c>
      <c r="B573" t="s">
        <v>148</v>
      </c>
      <c r="C573" t="s">
        <v>17</v>
      </c>
      <c r="D573" s="1">
        <v>45628</v>
      </c>
      <c r="E573" t="s">
        <v>95</v>
      </c>
      <c r="F573" t="s">
        <v>28</v>
      </c>
      <c r="G573">
        <v>41916.379999999997</v>
      </c>
      <c r="H573">
        <v>2000</v>
      </c>
      <c r="I573">
        <v>39916.379999999997</v>
      </c>
      <c r="J573">
        <v>95.228595999999996</v>
      </c>
    </row>
    <row r="574" spans="1:10" x14ac:dyDescent="0.3">
      <c r="A574" t="s">
        <v>794</v>
      </c>
      <c r="B574" t="s">
        <v>159</v>
      </c>
      <c r="C574" t="s">
        <v>12</v>
      </c>
      <c r="D574" s="1">
        <v>45378</v>
      </c>
      <c r="E574" t="s">
        <v>18</v>
      </c>
      <c r="F574" t="s">
        <v>14</v>
      </c>
      <c r="G574">
        <v>33440.730000000003</v>
      </c>
      <c r="H574">
        <v>500</v>
      </c>
      <c r="I574">
        <v>32940.730000000003</v>
      </c>
      <c r="J574">
        <v>98.504817000000003</v>
      </c>
    </row>
    <row r="575" spans="1:10" x14ac:dyDescent="0.3">
      <c r="A575" t="s">
        <v>795</v>
      </c>
      <c r="B575" t="s">
        <v>532</v>
      </c>
      <c r="C575" t="s">
        <v>12</v>
      </c>
      <c r="D575" s="1">
        <v>45609</v>
      </c>
      <c r="E575" t="s">
        <v>57</v>
      </c>
      <c r="F575" t="s">
        <v>32</v>
      </c>
      <c r="G575">
        <v>23906.1</v>
      </c>
      <c r="H575">
        <v>30000</v>
      </c>
      <c r="I575">
        <v>-6093.9</v>
      </c>
      <c r="J575">
        <v>-25.490983</v>
      </c>
    </row>
    <row r="576" spans="1:10" x14ac:dyDescent="0.3">
      <c r="A576" t="s">
        <v>796</v>
      </c>
      <c r="B576" t="s">
        <v>297</v>
      </c>
      <c r="C576" t="s">
        <v>17</v>
      </c>
      <c r="D576" s="1">
        <v>45400</v>
      </c>
      <c r="E576" t="s">
        <v>27</v>
      </c>
      <c r="F576" t="s">
        <v>19</v>
      </c>
      <c r="G576">
        <v>19906.05</v>
      </c>
      <c r="H576">
        <v>12000</v>
      </c>
      <c r="I576">
        <v>7906.05</v>
      </c>
      <c r="J576">
        <v>39.716819999999998</v>
      </c>
    </row>
    <row r="577" spans="1:10" x14ac:dyDescent="0.3">
      <c r="A577" t="s">
        <v>797</v>
      </c>
      <c r="B577" t="s">
        <v>446</v>
      </c>
      <c r="C577" t="s">
        <v>12</v>
      </c>
      <c r="D577" s="1">
        <v>45643</v>
      </c>
      <c r="E577" t="s">
        <v>95</v>
      </c>
      <c r="F577" t="s">
        <v>28</v>
      </c>
      <c r="G577">
        <v>36744.61</v>
      </c>
      <c r="H577">
        <v>2000</v>
      </c>
      <c r="I577">
        <v>34744.61</v>
      </c>
      <c r="J577">
        <v>94.557024999999996</v>
      </c>
    </row>
    <row r="578" spans="1:10" x14ac:dyDescent="0.3">
      <c r="A578" t="s">
        <v>798</v>
      </c>
      <c r="B578" t="s">
        <v>249</v>
      </c>
      <c r="C578" t="s">
        <v>64</v>
      </c>
      <c r="D578" s="1">
        <v>45369</v>
      </c>
      <c r="E578" t="s">
        <v>18</v>
      </c>
      <c r="F578" t="s">
        <v>28</v>
      </c>
      <c r="G578">
        <v>45635.040000000001</v>
      </c>
      <c r="H578">
        <v>2000</v>
      </c>
      <c r="I578">
        <v>43635.040000000001</v>
      </c>
      <c r="J578">
        <v>95.617402999999996</v>
      </c>
    </row>
    <row r="579" spans="1:10" x14ac:dyDescent="0.3">
      <c r="A579" t="s">
        <v>799</v>
      </c>
      <c r="B579" t="s">
        <v>419</v>
      </c>
      <c r="C579" t="s">
        <v>64</v>
      </c>
      <c r="D579" s="1">
        <v>45308</v>
      </c>
      <c r="E579" t="s">
        <v>44</v>
      </c>
      <c r="F579" t="s">
        <v>19</v>
      </c>
      <c r="G579">
        <v>17238.86</v>
      </c>
      <c r="H579">
        <v>12000</v>
      </c>
      <c r="I579">
        <v>5238.8599999999997</v>
      </c>
      <c r="J579">
        <v>30.389828999999999</v>
      </c>
    </row>
    <row r="580" spans="1:10" x14ac:dyDescent="0.3">
      <c r="A580" t="s">
        <v>800</v>
      </c>
      <c r="B580" t="s">
        <v>257</v>
      </c>
      <c r="C580" t="s">
        <v>12</v>
      </c>
      <c r="D580" s="1">
        <v>45372</v>
      </c>
      <c r="E580" t="s">
        <v>18</v>
      </c>
      <c r="F580" t="s">
        <v>32</v>
      </c>
      <c r="G580">
        <v>22513.9</v>
      </c>
      <c r="H580">
        <v>30000</v>
      </c>
      <c r="I580">
        <v>-7486.1</v>
      </c>
      <c r="J580">
        <v>-33.251013999999998</v>
      </c>
    </row>
    <row r="581" spans="1:10" x14ac:dyDescent="0.3">
      <c r="A581" t="s">
        <v>801</v>
      </c>
      <c r="B581" t="s">
        <v>459</v>
      </c>
      <c r="C581" t="s">
        <v>64</v>
      </c>
      <c r="D581" s="1">
        <v>45405</v>
      </c>
      <c r="E581" t="s">
        <v>27</v>
      </c>
      <c r="F581" t="s">
        <v>19</v>
      </c>
      <c r="G581">
        <v>3454.02</v>
      </c>
      <c r="H581">
        <v>12000</v>
      </c>
      <c r="I581">
        <v>-8545.98</v>
      </c>
      <c r="J581">
        <v>-247.421266</v>
      </c>
    </row>
    <row r="582" spans="1:10" x14ac:dyDescent="0.3">
      <c r="A582" t="s">
        <v>802</v>
      </c>
      <c r="B582" t="s">
        <v>150</v>
      </c>
      <c r="C582" t="s">
        <v>64</v>
      </c>
      <c r="D582" s="1">
        <v>45388</v>
      </c>
      <c r="E582" t="s">
        <v>27</v>
      </c>
      <c r="F582" t="s">
        <v>19</v>
      </c>
      <c r="G582">
        <v>8302.2800000000007</v>
      </c>
      <c r="H582">
        <v>12000</v>
      </c>
      <c r="I582">
        <v>-3697.72</v>
      </c>
      <c r="J582">
        <v>-44.538609000000001</v>
      </c>
    </row>
    <row r="583" spans="1:10" x14ac:dyDescent="0.3">
      <c r="A583" t="s">
        <v>803</v>
      </c>
      <c r="B583" t="s">
        <v>478</v>
      </c>
      <c r="C583" t="s">
        <v>12</v>
      </c>
      <c r="D583" s="1">
        <v>45316</v>
      </c>
      <c r="E583" t="s">
        <v>44</v>
      </c>
      <c r="F583" t="s">
        <v>28</v>
      </c>
      <c r="G583">
        <v>41042.21</v>
      </c>
      <c r="H583">
        <v>2000</v>
      </c>
      <c r="I583">
        <v>39042.21</v>
      </c>
      <c r="J583">
        <v>95.126968000000005</v>
      </c>
    </row>
    <row r="584" spans="1:10" x14ac:dyDescent="0.3">
      <c r="A584" t="s">
        <v>804</v>
      </c>
      <c r="B584" t="s">
        <v>217</v>
      </c>
      <c r="C584" t="s">
        <v>64</v>
      </c>
      <c r="D584" s="1">
        <v>45374</v>
      </c>
      <c r="E584" t="s">
        <v>18</v>
      </c>
      <c r="F584" t="s">
        <v>14</v>
      </c>
      <c r="G584">
        <v>4305.3</v>
      </c>
      <c r="H584">
        <v>500</v>
      </c>
      <c r="I584">
        <v>3805.3</v>
      </c>
      <c r="J584">
        <v>88.386407000000005</v>
      </c>
    </row>
    <row r="585" spans="1:10" x14ac:dyDescent="0.3">
      <c r="A585" t="s">
        <v>805</v>
      </c>
      <c r="B585" t="s">
        <v>221</v>
      </c>
      <c r="C585" t="s">
        <v>64</v>
      </c>
      <c r="D585" s="1">
        <v>45549</v>
      </c>
      <c r="E585" t="s">
        <v>24</v>
      </c>
      <c r="F585" t="s">
        <v>19</v>
      </c>
      <c r="G585">
        <v>11560.08</v>
      </c>
      <c r="H585">
        <v>12000</v>
      </c>
      <c r="I585">
        <v>-439.92</v>
      </c>
      <c r="J585">
        <v>-3.8055099999999999</v>
      </c>
    </row>
    <row r="586" spans="1:10" x14ac:dyDescent="0.3">
      <c r="A586" t="s">
        <v>806</v>
      </c>
      <c r="B586" t="s">
        <v>231</v>
      </c>
      <c r="C586" t="s">
        <v>64</v>
      </c>
      <c r="D586" s="1">
        <v>45436</v>
      </c>
      <c r="E586" t="s">
        <v>37</v>
      </c>
      <c r="F586" t="s">
        <v>19</v>
      </c>
      <c r="G586">
        <v>39439.54</v>
      </c>
      <c r="H586">
        <v>12000</v>
      </c>
      <c r="I586">
        <v>27439.54</v>
      </c>
      <c r="J586">
        <v>69.573682000000005</v>
      </c>
    </row>
    <row r="587" spans="1:10" x14ac:dyDescent="0.3">
      <c r="A587" t="s">
        <v>807</v>
      </c>
      <c r="B587" t="s">
        <v>174</v>
      </c>
      <c r="C587" t="s">
        <v>12</v>
      </c>
      <c r="D587" s="1">
        <v>45299</v>
      </c>
      <c r="E587" t="s">
        <v>44</v>
      </c>
      <c r="F587" t="s">
        <v>19</v>
      </c>
      <c r="G587">
        <v>48722.07</v>
      </c>
      <c r="H587">
        <v>12000</v>
      </c>
      <c r="I587">
        <v>36722.07</v>
      </c>
      <c r="J587">
        <v>75.370504999999994</v>
      </c>
    </row>
    <row r="588" spans="1:10" x14ac:dyDescent="0.3">
      <c r="A588" t="s">
        <v>808</v>
      </c>
      <c r="B588" t="s">
        <v>572</v>
      </c>
      <c r="C588" t="s">
        <v>40</v>
      </c>
      <c r="D588" s="1">
        <v>45614</v>
      </c>
      <c r="E588" t="s">
        <v>57</v>
      </c>
      <c r="F588" t="s">
        <v>14</v>
      </c>
      <c r="G588">
        <v>15744.29</v>
      </c>
      <c r="H588">
        <v>500</v>
      </c>
      <c r="I588">
        <v>15244.29</v>
      </c>
      <c r="J588">
        <v>96.824245000000005</v>
      </c>
    </row>
    <row r="589" spans="1:10" x14ac:dyDescent="0.3">
      <c r="A589" t="s">
        <v>809</v>
      </c>
      <c r="B589" t="s">
        <v>243</v>
      </c>
      <c r="C589" t="s">
        <v>17</v>
      </c>
      <c r="D589" s="1">
        <v>45509</v>
      </c>
      <c r="E589" t="s">
        <v>47</v>
      </c>
      <c r="F589" t="s">
        <v>19</v>
      </c>
      <c r="G589">
        <v>17867.45</v>
      </c>
      <c r="H589">
        <v>12000</v>
      </c>
      <c r="I589">
        <v>5867.45</v>
      </c>
      <c r="J589">
        <v>32.838765000000002</v>
      </c>
    </row>
    <row r="590" spans="1:10" x14ac:dyDescent="0.3">
      <c r="A590" t="s">
        <v>810</v>
      </c>
      <c r="B590" t="s">
        <v>174</v>
      </c>
      <c r="C590" t="s">
        <v>12</v>
      </c>
      <c r="D590" s="1">
        <v>45586</v>
      </c>
      <c r="E590" t="s">
        <v>13</v>
      </c>
      <c r="F590" t="s">
        <v>19</v>
      </c>
      <c r="G590">
        <v>13125.95</v>
      </c>
      <c r="H590">
        <v>12000</v>
      </c>
      <c r="I590">
        <v>1125.95</v>
      </c>
      <c r="J590">
        <v>8.5780460000000005</v>
      </c>
    </row>
    <row r="591" spans="1:10" x14ac:dyDescent="0.3">
      <c r="A591" t="s">
        <v>811</v>
      </c>
      <c r="B591" t="s">
        <v>111</v>
      </c>
      <c r="C591" t="s">
        <v>64</v>
      </c>
      <c r="D591" s="1">
        <v>45606</v>
      </c>
      <c r="E591" t="s">
        <v>57</v>
      </c>
      <c r="F591" t="s">
        <v>28</v>
      </c>
      <c r="G591">
        <v>3487.64</v>
      </c>
      <c r="H591">
        <v>2000</v>
      </c>
      <c r="I591">
        <v>1487.64</v>
      </c>
      <c r="J591">
        <v>42.654631999999999</v>
      </c>
    </row>
    <row r="592" spans="1:10" x14ac:dyDescent="0.3">
      <c r="A592" t="s">
        <v>812</v>
      </c>
      <c r="B592" t="s">
        <v>387</v>
      </c>
      <c r="C592" t="s">
        <v>64</v>
      </c>
      <c r="D592" s="1">
        <v>45499</v>
      </c>
      <c r="E592" t="s">
        <v>31</v>
      </c>
      <c r="F592" t="s">
        <v>28</v>
      </c>
      <c r="G592">
        <v>39164.269999999997</v>
      </c>
      <c r="H592">
        <v>2000</v>
      </c>
      <c r="I592">
        <v>37164.269999999997</v>
      </c>
      <c r="J592">
        <v>94.893304999999998</v>
      </c>
    </row>
    <row r="593" spans="1:10" x14ac:dyDescent="0.3">
      <c r="A593" t="s">
        <v>813</v>
      </c>
      <c r="B593" t="s">
        <v>132</v>
      </c>
      <c r="C593" t="s">
        <v>64</v>
      </c>
      <c r="D593" s="1">
        <v>45505</v>
      </c>
      <c r="E593" t="s">
        <v>47</v>
      </c>
      <c r="F593" t="s">
        <v>32</v>
      </c>
      <c r="G593">
        <v>4309.1099999999997</v>
      </c>
      <c r="H593">
        <v>30000</v>
      </c>
      <c r="I593">
        <v>-25690.89</v>
      </c>
      <c r="J593">
        <v>-596.19944699999996</v>
      </c>
    </row>
    <row r="594" spans="1:10" x14ac:dyDescent="0.3">
      <c r="A594" t="s">
        <v>814</v>
      </c>
      <c r="B594" t="s">
        <v>186</v>
      </c>
      <c r="C594" t="s">
        <v>64</v>
      </c>
      <c r="D594" s="1">
        <v>45395</v>
      </c>
      <c r="E594" t="s">
        <v>27</v>
      </c>
      <c r="F594" t="s">
        <v>14</v>
      </c>
      <c r="G594">
        <v>23524.89</v>
      </c>
      <c r="H594">
        <v>500</v>
      </c>
      <c r="I594">
        <v>23024.89</v>
      </c>
      <c r="J594">
        <v>97.874592000000007</v>
      </c>
    </row>
    <row r="595" spans="1:10" x14ac:dyDescent="0.3">
      <c r="A595" t="s">
        <v>815</v>
      </c>
      <c r="B595" t="s">
        <v>186</v>
      </c>
      <c r="C595" t="s">
        <v>64</v>
      </c>
      <c r="D595" s="1">
        <v>45582</v>
      </c>
      <c r="E595" t="s">
        <v>13</v>
      </c>
      <c r="F595" t="s">
        <v>19</v>
      </c>
      <c r="G595">
        <v>36596.42</v>
      </c>
      <c r="H595">
        <v>12000</v>
      </c>
      <c r="I595">
        <v>24596.42</v>
      </c>
      <c r="J595">
        <v>67.209907000000001</v>
      </c>
    </row>
    <row r="596" spans="1:10" x14ac:dyDescent="0.3">
      <c r="A596" t="s">
        <v>816</v>
      </c>
      <c r="B596" t="s">
        <v>74</v>
      </c>
      <c r="C596" t="s">
        <v>40</v>
      </c>
      <c r="D596" s="1">
        <v>45542</v>
      </c>
      <c r="E596" t="s">
        <v>24</v>
      </c>
      <c r="F596" t="s">
        <v>14</v>
      </c>
      <c r="G596">
        <v>47670.91</v>
      </c>
      <c r="H596">
        <v>500</v>
      </c>
      <c r="I596">
        <v>47170.91</v>
      </c>
      <c r="J596">
        <v>98.951142000000004</v>
      </c>
    </row>
    <row r="597" spans="1:10" x14ac:dyDescent="0.3">
      <c r="A597" t="s">
        <v>817</v>
      </c>
      <c r="B597" t="s">
        <v>417</v>
      </c>
      <c r="C597" t="s">
        <v>12</v>
      </c>
      <c r="D597" s="1">
        <v>45598</v>
      </c>
      <c r="E597" t="s">
        <v>57</v>
      </c>
      <c r="F597" t="s">
        <v>14</v>
      </c>
      <c r="G597">
        <v>6165.79</v>
      </c>
      <c r="H597">
        <v>500</v>
      </c>
      <c r="I597">
        <v>5665.79</v>
      </c>
      <c r="J597">
        <v>91.890738999999996</v>
      </c>
    </row>
    <row r="598" spans="1:10" x14ac:dyDescent="0.3">
      <c r="A598" t="s">
        <v>818</v>
      </c>
      <c r="B598" t="s">
        <v>132</v>
      </c>
      <c r="C598" t="s">
        <v>64</v>
      </c>
      <c r="D598" s="1">
        <v>45502</v>
      </c>
      <c r="E598" t="s">
        <v>31</v>
      </c>
      <c r="F598" t="s">
        <v>32</v>
      </c>
      <c r="G598">
        <v>45011.93</v>
      </c>
      <c r="H598">
        <v>30000</v>
      </c>
      <c r="I598">
        <v>15011.93</v>
      </c>
      <c r="J598">
        <v>33.351002999999999</v>
      </c>
    </row>
    <row r="599" spans="1:10" x14ac:dyDescent="0.3">
      <c r="A599" t="s">
        <v>819</v>
      </c>
      <c r="B599" t="s">
        <v>101</v>
      </c>
      <c r="C599" t="s">
        <v>17</v>
      </c>
      <c r="D599" s="1">
        <v>45431</v>
      </c>
      <c r="E599" t="s">
        <v>37</v>
      </c>
      <c r="F599" t="s">
        <v>28</v>
      </c>
      <c r="G599">
        <v>28809.89</v>
      </c>
      <c r="H599">
        <v>2000</v>
      </c>
      <c r="I599">
        <v>26809.89</v>
      </c>
      <c r="J599">
        <v>93.057939000000005</v>
      </c>
    </row>
    <row r="600" spans="1:10" x14ac:dyDescent="0.3">
      <c r="A600" t="s">
        <v>820</v>
      </c>
      <c r="B600" t="s">
        <v>150</v>
      </c>
      <c r="C600" t="s">
        <v>64</v>
      </c>
      <c r="D600" s="1">
        <v>45565</v>
      </c>
      <c r="E600" t="s">
        <v>24</v>
      </c>
      <c r="F600" t="s">
        <v>14</v>
      </c>
      <c r="G600">
        <v>41188.86</v>
      </c>
      <c r="H600">
        <v>500</v>
      </c>
      <c r="I600">
        <v>40688.86</v>
      </c>
      <c r="J600">
        <v>98.786079999999998</v>
      </c>
    </row>
    <row r="601" spans="1:10" x14ac:dyDescent="0.3">
      <c r="A601" t="s">
        <v>821</v>
      </c>
      <c r="B601" t="s">
        <v>101</v>
      </c>
      <c r="C601" t="s">
        <v>17</v>
      </c>
      <c r="D601" s="1">
        <v>45549</v>
      </c>
      <c r="E601" t="s">
        <v>24</v>
      </c>
      <c r="F601" t="s">
        <v>19</v>
      </c>
      <c r="G601">
        <v>37264.22</v>
      </c>
      <c r="H601">
        <v>12000</v>
      </c>
      <c r="I601">
        <v>25264.22</v>
      </c>
      <c r="J601">
        <v>67.797528</v>
      </c>
    </row>
    <row r="602" spans="1:10" x14ac:dyDescent="0.3">
      <c r="A602" t="s">
        <v>822</v>
      </c>
      <c r="B602" t="s">
        <v>43</v>
      </c>
      <c r="C602" t="s">
        <v>40</v>
      </c>
      <c r="D602" s="1">
        <v>45423</v>
      </c>
      <c r="E602" t="s">
        <v>37</v>
      </c>
      <c r="F602" t="s">
        <v>14</v>
      </c>
      <c r="G602">
        <v>40327.480000000003</v>
      </c>
      <c r="H602">
        <v>500</v>
      </c>
      <c r="I602">
        <v>39827.480000000003</v>
      </c>
      <c r="J602">
        <v>98.760150999999993</v>
      </c>
    </row>
    <row r="603" spans="1:10" x14ac:dyDescent="0.3">
      <c r="A603" t="s">
        <v>823</v>
      </c>
      <c r="B603" t="s">
        <v>406</v>
      </c>
      <c r="C603" t="s">
        <v>40</v>
      </c>
      <c r="D603" s="1">
        <v>45382</v>
      </c>
      <c r="E603" t="s">
        <v>18</v>
      </c>
      <c r="F603" t="s">
        <v>28</v>
      </c>
      <c r="G603">
        <v>12336.98</v>
      </c>
      <c r="H603">
        <v>2000</v>
      </c>
      <c r="I603">
        <v>10336.98</v>
      </c>
      <c r="J603">
        <v>83.788577000000004</v>
      </c>
    </row>
    <row r="604" spans="1:10" x14ac:dyDescent="0.3">
      <c r="A604" t="s">
        <v>824</v>
      </c>
      <c r="B604" t="s">
        <v>583</v>
      </c>
      <c r="C604" t="s">
        <v>64</v>
      </c>
      <c r="D604" s="1">
        <v>45333</v>
      </c>
      <c r="E604" t="s">
        <v>49</v>
      </c>
      <c r="F604" t="s">
        <v>14</v>
      </c>
      <c r="G604">
        <v>31967.4</v>
      </c>
      <c r="H604">
        <v>500</v>
      </c>
      <c r="I604">
        <v>31467.4</v>
      </c>
      <c r="J604">
        <v>98.435907</v>
      </c>
    </row>
    <row r="605" spans="1:10" x14ac:dyDescent="0.3">
      <c r="A605" t="s">
        <v>825</v>
      </c>
      <c r="B605" t="s">
        <v>235</v>
      </c>
      <c r="C605" t="s">
        <v>12</v>
      </c>
      <c r="D605" s="1">
        <v>45419</v>
      </c>
      <c r="E605" t="s">
        <v>37</v>
      </c>
      <c r="F605" t="s">
        <v>14</v>
      </c>
      <c r="G605">
        <v>38531.800000000003</v>
      </c>
      <c r="H605">
        <v>500</v>
      </c>
      <c r="I605">
        <v>38031.800000000003</v>
      </c>
      <c r="J605">
        <v>98.702370999999999</v>
      </c>
    </row>
    <row r="606" spans="1:10" x14ac:dyDescent="0.3">
      <c r="A606" t="s">
        <v>826</v>
      </c>
      <c r="B606" t="s">
        <v>150</v>
      </c>
      <c r="C606" t="s">
        <v>64</v>
      </c>
      <c r="D606" s="1">
        <v>45585</v>
      </c>
      <c r="E606" t="s">
        <v>13</v>
      </c>
      <c r="F606" t="s">
        <v>32</v>
      </c>
      <c r="G606">
        <v>827.85</v>
      </c>
      <c r="H606">
        <v>30000</v>
      </c>
      <c r="I606">
        <v>-29172.15</v>
      </c>
      <c r="J606">
        <v>-3523.8448990000002</v>
      </c>
    </row>
    <row r="607" spans="1:10" x14ac:dyDescent="0.3">
      <c r="A607" t="s">
        <v>827</v>
      </c>
      <c r="B607" t="s">
        <v>274</v>
      </c>
      <c r="C607" t="s">
        <v>40</v>
      </c>
      <c r="D607" s="1">
        <v>45327</v>
      </c>
      <c r="E607" t="s">
        <v>49</v>
      </c>
      <c r="F607" t="s">
        <v>14</v>
      </c>
      <c r="G607">
        <v>42350.12</v>
      </c>
      <c r="H607">
        <v>500</v>
      </c>
      <c r="I607">
        <v>41850.120000000003</v>
      </c>
      <c r="J607">
        <v>98.819366000000002</v>
      </c>
    </row>
    <row r="608" spans="1:10" x14ac:dyDescent="0.3">
      <c r="A608" t="s">
        <v>828</v>
      </c>
      <c r="B608" t="s">
        <v>829</v>
      </c>
      <c r="C608" t="s">
        <v>64</v>
      </c>
      <c r="D608" s="1">
        <v>45644</v>
      </c>
      <c r="E608" t="s">
        <v>95</v>
      </c>
      <c r="F608" t="s">
        <v>14</v>
      </c>
      <c r="G608">
        <v>49762.78</v>
      </c>
      <c r="H608">
        <v>500</v>
      </c>
      <c r="I608">
        <v>49262.78</v>
      </c>
      <c r="J608">
        <v>98.995232999999999</v>
      </c>
    </row>
    <row r="609" spans="1:10" x14ac:dyDescent="0.3">
      <c r="A609" t="s">
        <v>830</v>
      </c>
      <c r="B609" t="s">
        <v>155</v>
      </c>
      <c r="C609" t="s">
        <v>40</v>
      </c>
      <c r="D609" s="1">
        <v>45431</v>
      </c>
      <c r="E609" t="s">
        <v>37</v>
      </c>
      <c r="F609" t="s">
        <v>14</v>
      </c>
      <c r="G609">
        <v>43522.32</v>
      </c>
      <c r="H609">
        <v>500</v>
      </c>
      <c r="I609">
        <v>43022.32</v>
      </c>
      <c r="J609">
        <v>98.851163999999997</v>
      </c>
    </row>
    <row r="610" spans="1:10" x14ac:dyDescent="0.3">
      <c r="A610" t="s">
        <v>831</v>
      </c>
      <c r="B610" t="s">
        <v>212</v>
      </c>
      <c r="C610" t="s">
        <v>12</v>
      </c>
      <c r="D610" s="1">
        <v>45615</v>
      </c>
      <c r="E610" t="s">
        <v>57</v>
      </c>
      <c r="F610" t="s">
        <v>28</v>
      </c>
      <c r="G610">
        <v>37572.379999999997</v>
      </c>
      <c r="H610">
        <v>2000</v>
      </c>
      <c r="I610">
        <v>35572.379999999997</v>
      </c>
      <c r="J610">
        <v>94.676940999999999</v>
      </c>
    </row>
    <row r="611" spans="1:10" x14ac:dyDescent="0.3">
      <c r="A611" t="s">
        <v>832</v>
      </c>
      <c r="B611" t="s">
        <v>528</v>
      </c>
      <c r="C611" t="s">
        <v>17</v>
      </c>
      <c r="D611" s="1">
        <v>45494</v>
      </c>
      <c r="E611" t="s">
        <v>31</v>
      </c>
      <c r="F611" t="s">
        <v>19</v>
      </c>
      <c r="G611">
        <v>27842.41</v>
      </c>
      <c r="H611">
        <v>12000</v>
      </c>
      <c r="I611">
        <v>15842.41</v>
      </c>
      <c r="J611">
        <v>56.900283000000002</v>
      </c>
    </row>
    <row r="612" spans="1:10" x14ac:dyDescent="0.3">
      <c r="A612" t="s">
        <v>833</v>
      </c>
      <c r="B612" t="s">
        <v>396</v>
      </c>
      <c r="C612" t="s">
        <v>64</v>
      </c>
      <c r="D612" s="1">
        <v>45562</v>
      </c>
      <c r="E612" t="s">
        <v>24</v>
      </c>
      <c r="F612" t="s">
        <v>28</v>
      </c>
      <c r="G612">
        <v>21961.31</v>
      </c>
      <c r="H612">
        <v>2000</v>
      </c>
      <c r="I612">
        <v>19961.310000000001</v>
      </c>
      <c r="J612">
        <v>90.893074999999996</v>
      </c>
    </row>
    <row r="613" spans="1:10" x14ac:dyDescent="0.3">
      <c r="A613" t="s">
        <v>834</v>
      </c>
      <c r="B613" t="s">
        <v>202</v>
      </c>
      <c r="C613" t="s">
        <v>12</v>
      </c>
      <c r="D613" s="1">
        <v>45564</v>
      </c>
      <c r="E613" t="s">
        <v>24</v>
      </c>
      <c r="F613" t="s">
        <v>19</v>
      </c>
      <c r="G613">
        <v>11732.05</v>
      </c>
      <c r="H613">
        <v>12000</v>
      </c>
      <c r="I613">
        <v>-267.95</v>
      </c>
      <c r="J613">
        <v>-2.2839149999999999</v>
      </c>
    </row>
    <row r="614" spans="1:10" x14ac:dyDescent="0.3">
      <c r="A614" t="s">
        <v>835</v>
      </c>
      <c r="B614" t="s">
        <v>52</v>
      </c>
      <c r="C614" t="s">
        <v>17</v>
      </c>
      <c r="D614" s="1">
        <v>45642</v>
      </c>
      <c r="E614" t="s">
        <v>95</v>
      </c>
      <c r="F614" t="s">
        <v>32</v>
      </c>
      <c r="G614">
        <v>2680.69</v>
      </c>
      <c r="H614">
        <v>30000</v>
      </c>
      <c r="I614">
        <v>-27319.31</v>
      </c>
      <c r="J614">
        <v>-1019.114855</v>
      </c>
    </row>
    <row r="615" spans="1:10" x14ac:dyDescent="0.3">
      <c r="A615" t="s">
        <v>836</v>
      </c>
      <c r="B615" t="s">
        <v>128</v>
      </c>
      <c r="C615" t="s">
        <v>17</v>
      </c>
      <c r="D615" s="1">
        <v>45651</v>
      </c>
      <c r="E615" t="s">
        <v>95</v>
      </c>
      <c r="F615" t="s">
        <v>19</v>
      </c>
      <c r="G615">
        <v>37624.269999999997</v>
      </c>
      <c r="H615">
        <v>12000</v>
      </c>
      <c r="I615">
        <v>25624.27</v>
      </c>
      <c r="J615">
        <v>68.105693000000002</v>
      </c>
    </row>
    <row r="616" spans="1:10" x14ac:dyDescent="0.3">
      <c r="A616" t="s">
        <v>837</v>
      </c>
      <c r="B616" t="s">
        <v>174</v>
      </c>
      <c r="C616" t="s">
        <v>12</v>
      </c>
      <c r="D616" s="1">
        <v>45326</v>
      </c>
      <c r="E616" t="s">
        <v>49</v>
      </c>
      <c r="F616" t="s">
        <v>14</v>
      </c>
      <c r="G616">
        <v>28887.24</v>
      </c>
      <c r="H616">
        <v>500</v>
      </c>
      <c r="I616">
        <v>28387.24</v>
      </c>
      <c r="J616">
        <v>98.269131999999999</v>
      </c>
    </row>
    <row r="617" spans="1:10" x14ac:dyDescent="0.3">
      <c r="A617" t="s">
        <v>838</v>
      </c>
      <c r="B617" t="s">
        <v>170</v>
      </c>
      <c r="C617" t="s">
        <v>64</v>
      </c>
      <c r="D617" s="1">
        <v>45325</v>
      </c>
      <c r="E617" t="s">
        <v>49</v>
      </c>
      <c r="F617" t="s">
        <v>28</v>
      </c>
      <c r="G617">
        <v>50490.12</v>
      </c>
      <c r="H617">
        <v>2000</v>
      </c>
      <c r="I617">
        <v>48490.12</v>
      </c>
      <c r="J617">
        <v>96.038829000000007</v>
      </c>
    </row>
    <row r="618" spans="1:10" x14ac:dyDescent="0.3">
      <c r="A618" t="s">
        <v>839</v>
      </c>
      <c r="B618" t="s">
        <v>761</v>
      </c>
      <c r="C618" t="s">
        <v>64</v>
      </c>
      <c r="D618" s="1">
        <v>45561</v>
      </c>
      <c r="E618" t="s">
        <v>24</v>
      </c>
      <c r="F618" t="s">
        <v>32</v>
      </c>
      <c r="G618">
        <v>37832.28</v>
      </c>
      <c r="H618">
        <v>30000</v>
      </c>
      <c r="I618">
        <v>7832.28</v>
      </c>
      <c r="J618">
        <v>20.702638</v>
      </c>
    </row>
    <row r="619" spans="1:10" x14ac:dyDescent="0.3">
      <c r="A619" t="s">
        <v>840</v>
      </c>
      <c r="B619" t="s">
        <v>268</v>
      </c>
      <c r="C619" t="s">
        <v>17</v>
      </c>
      <c r="D619" s="1">
        <v>45363</v>
      </c>
      <c r="E619" t="s">
        <v>18</v>
      </c>
      <c r="F619" t="s">
        <v>19</v>
      </c>
      <c r="G619">
        <v>18019.2</v>
      </c>
      <c r="H619">
        <v>12000</v>
      </c>
      <c r="I619">
        <v>6019.2</v>
      </c>
      <c r="J619">
        <v>33.404369000000003</v>
      </c>
    </row>
    <row r="620" spans="1:10" x14ac:dyDescent="0.3">
      <c r="A620" t="s">
        <v>841</v>
      </c>
      <c r="B620" t="s">
        <v>274</v>
      </c>
      <c r="C620" t="s">
        <v>40</v>
      </c>
      <c r="D620" s="1">
        <v>45535</v>
      </c>
      <c r="E620" t="s">
        <v>47</v>
      </c>
      <c r="F620" t="s">
        <v>28</v>
      </c>
      <c r="G620">
        <v>19580.21</v>
      </c>
      <c r="H620">
        <v>2000</v>
      </c>
      <c r="I620">
        <v>17580.21</v>
      </c>
      <c r="J620">
        <v>89.785605000000004</v>
      </c>
    </row>
    <row r="621" spans="1:10" x14ac:dyDescent="0.3">
      <c r="A621" t="s">
        <v>842</v>
      </c>
      <c r="B621" t="s">
        <v>30</v>
      </c>
      <c r="C621" t="s">
        <v>12</v>
      </c>
      <c r="D621" s="1">
        <v>45515</v>
      </c>
      <c r="E621" t="s">
        <v>47</v>
      </c>
      <c r="F621" t="s">
        <v>19</v>
      </c>
      <c r="G621">
        <v>36643.660000000003</v>
      </c>
      <c r="H621">
        <v>12000</v>
      </c>
      <c r="I621">
        <v>24643.66</v>
      </c>
      <c r="J621">
        <v>67.252179999999996</v>
      </c>
    </row>
    <row r="622" spans="1:10" x14ac:dyDescent="0.3">
      <c r="A622" t="s">
        <v>843</v>
      </c>
      <c r="B622" t="s">
        <v>304</v>
      </c>
      <c r="C622" t="s">
        <v>12</v>
      </c>
      <c r="D622" s="1">
        <v>45323</v>
      </c>
      <c r="E622" t="s">
        <v>49</v>
      </c>
      <c r="F622" t="s">
        <v>14</v>
      </c>
      <c r="G622">
        <v>25913.62</v>
      </c>
      <c r="H622">
        <v>500</v>
      </c>
      <c r="I622">
        <v>25413.62</v>
      </c>
      <c r="J622">
        <v>98.070513000000005</v>
      </c>
    </row>
    <row r="623" spans="1:10" x14ac:dyDescent="0.3">
      <c r="A623" t="s">
        <v>844</v>
      </c>
      <c r="B623" t="s">
        <v>165</v>
      </c>
      <c r="C623" t="s">
        <v>17</v>
      </c>
      <c r="D623" s="1">
        <v>45514</v>
      </c>
      <c r="E623" t="s">
        <v>47</v>
      </c>
      <c r="F623" t="s">
        <v>19</v>
      </c>
      <c r="G623">
        <v>2675.84</v>
      </c>
      <c r="H623">
        <v>12000</v>
      </c>
      <c r="I623">
        <v>-9324.16</v>
      </c>
      <c r="J623">
        <v>-348.45730700000001</v>
      </c>
    </row>
    <row r="624" spans="1:10" x14ac:dyDescent="0.3">
      <c r="A624" t="s">
        <v>845</v>
      </c>
      <c r="B624" t="s">
        <v>263</v>
      </c>
      <c r="C624" t="s">
        <v>64</v>
      </c>
      <c r="D624" s="1">
        <v>45436</v>
      </c>
      <c r="E624" t="s">
        <v>37</v>
      </c>
      <c r="F624" t="s">
        <v>14</v>
      </c>
      <c r="G624">
        <v>34360.769999999997</v>
      </c>
      <c r="H624">
        <v>500</v>
      </c>
      <c r="I624">
        <v>33860.769999999997</v>
      </c>
      <c r="J624">
        <v>98.544852000000006</v>
      </c>
    </row>
    <row r="625" spans="1:10" x14ac:dyDescent="0.3">
      <c r="A625" t="s">
        <v>846</v>
      </c>
      <c r="B625" t="s">
        <v>103</v>
      </c>
      <c r="C625" t="s">
        <v>12</v>
      </c>
      <c r="D625" s="1">
        <v>45340</v>
      </c>
      <c r="E625" t="s">
        <v>49</v>
      </c>
      <c r="F625" t="s">
        <v>28</v>
      </c>
      <c r="G625">
        <v>16407.98</v>
      </c>
      <c r="H625">
        <v>2000</v>
      </c>
      <c r="I625">
        <v>14407.98</v>
      </c>
      <c r="J625">
        <v>87.810809000000006</v>
      </c>
    </row>
    <row r="626" spans="1:10" x14ac:dyDescent="0.3">
      <c r="A626" t="s">
        <v>847</v>
      </c>
      <c r="B626" t="s">
        <v>356</v>
      </c>
      <c r="C626" t="s">
        <v>40</v>
      </c>
      <c r="D626" s="1">
        <v>45348</v>
      </c>
      <c r="E626" t="s">
        <v>49</v>
      </c>
      <c r="F626" t="s">
        <v>32</v>
      </c>
      <c r="G626">
        <v>36607.480000000003</v>
      </c>
      <c r="H626">
        <v>30000</v>
      </c>
      <c r="I626">
        <v>6607.48</v>
      </c>
      <c r="J626">
        <v>18.049534999999999</v>
      </c>
    </row>
    <row r="627" spans="1:10" x14ac:dyDescent="0.3">
      <c r="A627" t="s">
        <v>848</v>
      </c>
      <c r="B627" t="s">
        <v>86</v>
      </c>
      <c r="C627" t="s">
        <v>40</v>
      </c>
      <c r="D627" s="1">
        <v>45617</v>
      </c>
      <c r="E627" t="s">
        <v>57</v>
      </c>
      <c r="F627" t="s">
        <v>28</v>
      </c>
      <c r="G627">
        <v>43389.96</v>
      </c>
      <c r="H627">
        <v>2000</v>
      </c>
      <c r="I627">
        <v>41389.96</v>
      </c>
      <c r="J627">
        <v>95.390638999999993</v>
      </c>
    </row>
    <row r="628" spans="1:10" x14ac:dyDescent="0.3">
      <c r="A628" t="s">
        <v>849</v>
      </c>
      <c r="B628" t="s">
        <v>619</v>
      </c>
      <c r="C628" t="s">
        <v>40</v>
      </c>
      <c r="D628" s="1">
        <v>45324</v>
      </c>
      <c r="E628" t="s">
        <v>49</v>
      </c>
      <c r="F628" t="s">
        <v>28</v>
      </c>
      <c r="G628">
        <v>39081.449999999997</v>
      </c>
      <c r="H628">
        <v>2000</v>
      </c>
      <c r="I628">
        <v>37081.449999999997</v>
      </c>
      <c r="J628">
        <v>94.882482999999993</v>
      </c>
    </row>
    <row r="629" spans="1:10" x14ac:dyDescent="0.3">
      <c r="A629" t="s">
        <v>850</v>
      </c>
      <c r="B629" t="s">
        <v>243</v>
      </c>
      <c r="C629" t="s">
        <v>17</v>
      </c>
      <c r="D629" s="1">
        <v>45349</v>
      </c>
      <c r="E629" t="s">
        <v>49</v>
      </c>
      <c r="F629" t="s">
        <v>32</v>
      </c>
      <c r="G629">
        <v>35878.79</v>
      </c>
      <c r="H629">
        <v>30000</v>
      </c>
      <c r="I629">
        <v>5878.79</v>
      </c>
      <c r="J629">
        <v>16.38514</v>
      </c>
    </row>
    <row r="630" spans="1:10" x14ac:dyDescent="0.3">
      <c r="A630" t="s">
        <v>851</v>
      </c>
      <c r="B630" t="s">
        <v>829</v>
      </c>
      <c r="C630" t="s">
        <v>64</v>
      </c>
      <c r="D630" s="1">
        <v>45515</v>
      </c>
      <c r="E630" t="s">
        <v>47</v>
      </c>
      <c r="F630" t="s">
        <v>32</v>
      </c>
      <c r="G630">
        <v>8926.94</v>
      </c>
      <c r="H630">
        <v>30000</v>
      </c>
      <c r="I630">
        <v>-21073.06</v>
      </c>
      <c r="J630">
        <v>-236.06140500000001</v>
      </c>
    </row>
    <row r="631" spans="1:10" x14ac:dyDescent="0.3">
      <c r="A631" t="s">
        <v>852</v>
      </c>
      <c r="B631" t="s">
        <v>446</v>
      </c>
      <c r="C631" t="s">
        <v>12</v>
      </c>
      <c r="D631" s="1">
        <v>45641</v>
      </c>
      <c r="E631" t="s">
        <v>95</v>
      </c>
      <c r="F631" t="s">
        <v>28</v>
      </c>
      <c r="G631">
        <v>33191.03</v>
      </c>
      <c r="H631">
        <v>2000</v>
      </c>
      <c r="I631">
        <v>31191.03</v>
      </c>
      <c r="J631">
        <v>93.974276000000003</v>
      </c>
    </row>
    <row r="632" spans="1:10" x14ac:dyDescent="0.3">
      <c r="A632" t="s">
        <v>853</v>
      </c>
      <c r="B632" t="s">
        <v>217</v>
      </c>
      <c r="C632" t="s">
        <v>64</v>
      </c>
      <c r="D632" s="1">
        <v>45480</v>
      </c>
      <c r="E632" t="s">
        <v>31</v>
      </c>
      <c r="F632" t="s">
        <v>32</v>
      </c>
      <c r="G632">
        <v>22027.65</v>
      </c>
      <c r="H632">
        <v>30000</v>
      </c>
      <c r="I632">
        <v>-7972.35</v>
      </c>
      <c r="J632">
        <v>-36.192467000000001</v>
      </c>
    </row>
    <row r="633" spans="1:10" x14ac:dyDescent="0.3">
      <c r="A633" t="s">
        <v>854</v>
      </c>
      <c r="B633" t="s">
        <v>74</v>
      </c>
      <c r="C633" t="s">
        <v>40</v>
      </c>
      <c r="D633" s="1">
        <v>45297</v>
      </c>
      <c r="E633" t="s">
        <v>44</v>
      </c>
      <c r="F633" t="s">
        <v>19</v>
      </c>
      <c r="G633">
        <v>9858.5</v>
      </c>
      <c r="H633">
        <v>12000</v>
      </c>
      <c r="I633">
        <v>-2141.5</v>
      </c>
      <c r="J633">
        <v>-21.722372</v>
      </c>
    </row>
    <row r="634" spans="1:10" x14ac:dyDescent="0.3">
      <c r="A634" t="s">
        <v>855</v>
      </c>
      <c r="B634" t="s">
        <v>221</v>
      </c>
      <c r="C634" t="s">
        <v>64</v>
      </c>
      <c r="D634" s="1">
        <v>45403</v>
      </c>
      <c r="E634" t="s">
        <v>27</v>
      </c>
      <c r="F634" t="s">
        <v>19</v>
      </c>
      <c r="G634">
        <v>23075.55</v>
      </c>
      <c r="H634">
        <v>12000</v>
      </c>
      <c r="I634">
        <v>11075.55</v>
      </c>
      <c r="J634">
        <v>47.996906000000003</v>
      </c>
    </row>
    <row r="635" spans="1:10" x14ac:dyDescent="0.3">
      <c r="A635" t="s">
        <v>856</v>
      </c>
      <c r="B635" t="s">
        <v>195</v>
      </c>
      <c r="C635" t="s">
        <v>64</v>
      </c>
      <c r="D635" s="1">
        <v>45588</v>
      </c>
      <c r="E635" t="s">
        <v>13</v>
      </c>
      <c r="F635" t="s">
        <v>28</v>
      </c>
      <c r="G635">
        <v>25317.56</v>
      </c>
      <c r="H635">
        <v>2000</v>
      </c>
      <c r="I635">
        <v>23317.56</v>
      </c>
      <c r="J635">
        <v>92.100345000000004</v>
      </c>
    </row>
    <row r="636" spans="1:10" x14ac:dyDescent="0.3">
      <c r="A636" t="s">
        <v>857</v>
      </c>
      <c r="B636" t="s">
        <v>713</v>
      </c>
      <c r="C636" t="s">
        <v>40</v>
      </c>
      <c r="D636" s="1">
        <v>45463</v>
      </c>
      <c r="E636" t="s">
        <v>41</v>
      </c>
      <c r="F636" t="s">
        <v>14</v>
      </c>
      <c r="G636">
        <v>20547.21</v>
      </c>
      <c r="H636">
        <v>500</v>
      </c>
      <c r="I636">
        <v>20047.21</v>
      </c>
      <c r="J636">
        <v>97.566580000000002</v>
      </c>
    </row>
    <row r="637" spans="1:10" x14ac:dyDescent="0.3">
      <c r="A637" t="s">
        <v>858</v>
      </c>
      <c r="B637" t="s">
        <v>145</v>
      </c>
      <c r="C637" t="s">
        <v>40</v>
      </c>
      <c r="D637" s="1">
        <v>45519</v>
      </c>
      <c r="E637" t="s">
        <v>47</v>
      </c>
      <c r="F637" t="s">
        <v>14</v>
      </c>
      <c r="G637">
        <v>39472.339999999997</v>
      </c>
      <c r="H637">
        <v>500</v>
      </c>
      <c r="I637">
        <v>38972.339999999997</v>
      </c>
      <c r="J637">
        <v>98.733289999999997</v>
      </c>
    </row>
    <row r="638" spans="1:10" x14ac:dyDescent="0.3">
      <c r="A638" t="s">
        <v>859</v>
      </c>
      <c r="B638" t="s">
        <v>21</v>
      </c>
      <c r="C638" t="s">
        <v>17</v>
      </c>
      <c r="D638" s="1">
        <v>45526</v>
      </c>
      <c r="E638" t="s">
        <v>47</v>
      </c>
      <c r="F638" t="s">
        <v>28</v>
      </c>
      <c r="G638">
        <v>13224.66</v>
      </c>
      <c r="H638">
        <v>2000</v>
      </c>
      <c r="I638">
        <v>11224.66</v>
      </c>
      <c r="J638">
        <v>84.876738000000003</v>
      </c>
    </row>
    <row r="639" spans="1:10" x14ac:dyDescent="0.3">
      <c r="A639" t="s">
        <v>860</v>
      </c>
      <c r="B639" t="s">
        <v>655</v>
      </c>
      <c r="C639" t="s">
        <v>64</v>
      </c>
      <c r="D639" s="1">
        <v>45354</v>
      </c>
      <c r="E639" t="s">
        <v>18</v>
      </c>
      <c r="F639" t="s">
        <v>28</v>
      </c>
      <c r="G639">
        <v>49104.55</v>
      </c>
      <c r="H639">
        <v>2000</v>
      </c>
      <c r="I639">
        <v>47104.55</v>
      </c>
      <c r="J639">
        <v>95.927058000000002</v>
      </c>
    </row>
    <row r="640" spans="1:10" x14ac:dyDescent="0.3">
      <c r="A640" t="s">
        <v>861</v>
      </c>
      <c r="B640" t="s">
        <v>862</v>
      </c>
      <c r="C640" t="s">
        <v>12</v>
      </c>
      <c r="D640" s="1">
        <v>45425</v>
      </c>
      <c r="E640" t="s">
        <v>37</v>
      </c>
      <c r="F640" t="s">
        <v>32</v>
      </c>
      <c r="G640">
        <v>50126.28</v>
      </c>
      <c r="H640">
        <v>30000</v>
      </c>
      <c r="I640">
        <v>20126.28</v>
      </c>
      <c r="J640">
        <v>40.151153999999998</v>
      </c>
    </row>
    <row r="641" spans="1:10" x14ac:dyDescent="0.3">
      <c r="A641" t="s">
        <v>863</v>
      </c>
      <c r="B641" t="s">
        <v>478</v>
      </c>
      <c r="C641" t="s">
        <v>12</v>
      </c>
      <c r="D641" s="1">
        <v>45348</v>
      </c>
      <c r="E641" t="s">
        <v>49</v>
      </c>
      <c r="F641" t="s">
        <v>32</v>
      </c>
      <c r="G641">
        <v>38355.050000000003</v>
      </c>
      <c r="H641">
        <v>30000</v>
      </c>
      <c r="I641">
        <v>8355.0499999999993</v>
      </c>
      <c r="J641">
        <v>21.783442000000001</v>
      </c>
    </row>
    <row r="642" spans="1:10" x14ac:dyDescent="0.3">
      <c r="A642" t="s">
        <v>864</v>
      </c>
      <c r="B642" t="s">
        <v>331</v>
      </c>
      <c r="C642" t="s">
        <v>12</v>
      </c>
      <c r="D642" s="1">
        <v>45645</v>
      </c>
      <c r="E642" t="s">
        <v>95</v>
      </c>
      <c r="F642" t="s">
        <v>14</v>
      </c>
      <c r="G642">
        <v>27515.599999999999</v>
      </c>
      <c r="H642">
        <v>500</v>
      </c>
      <c r="I642">
        <v>27015.599999999999</v>
      </c>
      <c r="J642">
        <v>98.182849000000004</v>
      </c>
    </row>
    <row r="643" spans="1:10" x14ac:dyDescent="0.3">
      <c r="A643" t="s">
        <v>865</v>
      </c>
      <c r="B643" t="s">
        <v>415</v>
      </c>
      <c r="C643" t="s">
        <v>40</v>
      </c>
      <c r="D643" s="1">
        <v>45528</v>
      </c>
      <c r="E643" t="s">
        <v>47</v>
      </c>
      <c r="F643" t="s">
        <v>28</v>
      </c>
      <c r="G643">
        <v>49730.89</v>
      </c>
      <c r="H643">
        <v>2000</v>
      </c>
      <c r="I643">
        <v>47730.89</v>
      </c>
      <c r="J643">
        <v>95.978354999999993</v>
      </c>
    </row>
    <row r="644" spans="1:10" x14ac:dyDescent="0.3">
      <c r="A644" t="s">
        <v>866</v>
      </c>
      <c r="B644" t="s">
        <v>274</v>
      </c>
      <c r="C644" t="s">
        <v>40</v>
      </c>
      <c r="D644" s="1">
        <v>45628</v>
      </c>
      <c r="E644" t="s">
        <v>95</v>
      </c>
      <c r="F644" t="s">
        <v>14</v>
      </c>
      <c r="G644">
        <v>1278.96</v>
      </c>
      <c r="H644">
        <v>500</v>
      </c>
      <c r="I644">
        <v>778.96</v>
      </c>
      <c r="J644">
        <v>60.905735999999997</v>
      </c>
    </row>
    <row r="645" spans="1:10" x14ac:dyDescent="0.3">
      <c r="A645" t="s">
        <v>867</v>
      </c>
      <c r="B645" t="s">
        <v>360</v>
      </c>
      <c r="C645" t="s">
        <v>64</v>
      </c>
      <c r="D645" s="1">
        <v>45418</v>
      </c>
      <c r="E645" t="s">
        <v>37</v>
      </c>
      <c r="F645" t="s">
        <v>14</v>
      </c>
      <c r="G645">
        <v>36359.879999999997</v>
      </c>
      <c r="H645">
        <v>500</v>
      </c>
      <c r="I645">
        <v>35859.879999999997</v>
      </c>
      <c r="J645">
        <v>98.624858000000003</v>
      </c>
    </row>
    <row r="646" spans="1:10" x14ac:dyDescent="0.3">
      <c r="A646" t="s">
        <v>868</v>
      </c>
      <c r="B646" t="s">
        <v>448</v>
      </c>
      <c r="C646" t="s">
        <v>40</v>
      </c>
      <c r="D646" s="1">
        <v>45485</v>
      </c>
      <c r="E646" t="s">
        <v>31</v>
      </c>
      <c r="F646" t="s">
        <v>32</v>
      </c>
      <c r="G646">
        <v>4533.97</v>
      </c>
      <c r="H646">
        <v>30000</v>
      </c>
      <c r="I646">
        <v>-25466.03</v>
      </c>
      <c r="J646">
        <v>-561.67178000000001</v>
      </c>
    </row>
    <row r="647" spans="1:10" x14ac:dyDescent="0.3">
      <c r="A647" t="s">
        <v>869</v>
      </c>
      <c r="B647" t="s">
        <v>259</v>
      </c>
      <c r="C647" t="s">
        <v>17</v>
      </c>
      <c r="D647" s="1">
        <v>45594</v>
      </c>
      <c r="E647" t="s">
        <v>13</v>
      </c>
      <c r="F647" t="s">
        <v>14</v>
      </c>
      <c r="G647">
        <v>36652.480000000003</v>
      </c>
      <c r="H647">
        <v>500</v>
      </c>
      <c r="I647">
        <v>36152.480000000003</v>
      </c>
      <c r="J647">
        <v>98.635835999999998</v>
      </c>
    </row>
    <row r="648" spans="1:10" x14ac:dyDescent="0.3">
      <c r="A648" t="s">
        <v>870</v>
      </c>
      <c r="B648" t="s">
        <v>619</v>
      </c>
      <c r="C648" t="s">
        <v>40</v>
      </c>
      <c r="D648" s="1">
        <v>45343</v>
      </c>
      <c r="E648" t="s">
        <v>49</v>
      </c>
      <c r="F648" t="s">
        <v>14</v>
      </c>
      <c r="G648">
        <v>45158.5</v>
      </c>
      <c r="H648">
        <v>500</v>
      </c>
      <c r="I648">
        <v>44658.5</v>
      </c>
      <c r="J648">
        <v>98.892788999999993</v>
      </c>
    </row>
    <row r="649" spans="1:10" x14ac:dyDescent="0.3">
      <c r="A649" t="s">
        <v>871</v>
      </c>
      <c r="B649" t="s">
        <v>136</v>
      </c>
      <c r="C649" t="s">
        <v>12</v>
      </c>
      <c r="D649" s="1">
        <v>45591</v>
      </c>
      <c r="E649" t="s">
        <v>13</v>
      </c>
      <c r="F649" t="s">
        <v>32</v>
      </c>
      <c r="G649">
        <v>36729.4</v>
      </c>
      <c r="H649">
        <v>30000</v>
      </c>
      <c r="I649">
        <v>6729.4</v>
      </c>
      <c r="J649">
        <v>18.321563000000001</v>
      </c>
    </row>
    <row r="650" spans="1:10" x14ac:dyDescent="0.3">
      <c r="A650" t="s">
        <v>872</v>
      </c>
      <c r="B650" t="s">
        <v>387</v>
      </c>
      <c r="C650" t="s">
        <v>64</v>
      </c>
      <c r="D650" s="1">
        <v>45432</v>
      </c>
      <c r="E650" t="s">
        <v>37</v>
      </c>
      <c r="F650" t="s">
        <v>14</v>
      </c>
      <c r="G650">
        <v>36851.78</v>
      </c>
      <c r="H650">
        <v>500</v>
      </c>
      <c r="I650">
        <v>36351.78</v>
      </c>
      <c r="J650">
        <v>98.643213000000003</v>
      </c>
    </row>
    <row r="651" spans="1:10" x14ac:dyDescent="0.3">
      <c r="A651" t="s">
        <v>873</v>
      </c>
      <c r="B651" t="s">
        <v>82</v>
      </c>
      <c r="C651" t="s">
        <v>17</v>
      </c>
      <c r="D651" s="1">
        <v>45580</v>
      </c>
      <c r="E651" t="s">
        <v>13</v>
      </c>
      <c r="F651" t="s">
        <v>14</v>
      </c>
      <c r="G651">
        <v>15628.2</v>
      </c>
      <c r="H651">
        <v>500</v>
      </c>
      <c r="I651">
        <v>15128.2</v>
      </c>
      <c r="J651">
        <v>96.800655000000006</v>
      </c>
    </row>
    <row r="652" spans="1:10" x14ac:dyDescent="0.3">
      <c r="A652" t="s">
        <v>874</v>
      </c>
      <c r="B652" t="s">
        <v>94</v>
      </c>
      <c r="C652" t="s">
        <v>17</v>
      </c>
      <c r="D652" s="1">
        <v>45656</v>
      </c>
      <c r="E652" t="s">
        <v>95</v>
      </c>
      <c r="F652" t="s">
        <v>32</v>
      </c>
      <c r="G652">
        <v>31111.56</v>
      </c>
      <c r="H652">
        <v>30000</v>
      </c>
      <c r="I652">
        <v>1111.56</v>
      </c>
      <c r="J652">
        <v>3.5728200000000001</v>
      </c>
    </row>
    <row r="653" spans="1:10" x14ac:dyDescent="0.3">
      <c r="A653" t="s">
        <v>875</v>
      </c>
      <c r="B653" t="s">
        <v>481</v>
      </c>
      <c r="C653" t="s">
        <v>64</v>
      </c>
      <c r="D653" s="1">
        <v>45345</v>
      </c>
      <c r="E653" t="s">
        <v>49</v>
      </c>
      <c r="F653" t="s">
        <v>14</v>
      </c>
      <c r="G653">
        <v>26399.74</v>
      </c>
      <c r="H653">
        <v>500</v>
      </c>
      <c r="I653">
        <v>25899.74</v>
      </c>
      <c r="J653">
        <v>98.106042000000002</v>
      </c>
    </row>
    <row r="654" spans="1:10" x14ac:dyDescent="0.3">
      <c r="A654" t="s">
        <v>876</v>
      </c>
      <c r="B654" t="s">
        <v>255</v>
      </c>
      <c r="C654" t="s">
        <v>64</v>
      </c>
      <c r="D654" s="1">
        <v>45641</v>
      </c>
      <c r="E654" t="s">
        <v>95</v>
      </c>
      <c r="F654" t="s">
        <v>32</v>
      </c>
      <c r="G654">
        <v>14006.15</v>
      </c>
      <c r="H654">
        <v>30000</v>
      </c>
      <c r="I654">
        <v>-15993.85</v>
      </c>
      <c r="J654">
        <v>-114.19162300000001</v>
      </c>
    </row>
    <row r="655" spans="1:10" x14ac:dyDescent="0.3">
      <c r="A655" t="s">
        <v>877</v>
      </c>
      <c r="B655" t="s">
        <v>278</v>
      </c>
      <c r="C655" t="s">
        <v>12</v>
      </c>
      <c r="D655" s="1">
        <v>45494</v>
      </c>
      <c r="E655" t="s">
        <v>31</v>
      </c>
      <c r="F655" t="s">
        <v>32</v>
      </c>
      <c r="G655">
        <v>28430.799999999999</v>
      </c>
      <c r="H655">
        <v>30000</v>
      </c>
      <c r="I655">
        <v>-1569.2</v>
      </c>
      <c r="J655">
        <v>-5.5193659999999998</v>
      </c>
    </row>
    <row r="656" spans="1:10" x14ac:dyDescent="0.3">
      <c r="A656" t="s">
        <v>878</v>
      </c>
      <c r="B656" t="s">
        <v>94</v>
      </c>
      <c r="C656" t="s">
        <v>17</v>
      </c>
      <c r="D656" s="1">
        <v>45635</v>
      </c>
      <c r="E656" t="s">
        <v>95</v>
      </c>
      <c r="F656" t="s">
        <v>14</v>
      </c>
      <c r="G656">
        <v>16436.990000000002</v>
      </c>
      <c r="H656">
        <v>500</v>
      </c>
      <c r="I656">
        <v>15936.99</v>
      </c>
      <c r="J656">
        <v>96.958081000000007</v>
      </c>
    </row>
    <row r="657" spans="1:10" x14ac:dyDescent="0.3">
      <c r="A657" t="s">
        <v>879</v>
      </c>
      <c r="B657" t="s">
        <v>309</v>
      </c>
      <c r="C657" t="s">
        <v>17</v>
      </c>
      <c r="D657" s="1">
        <v>45530</v>
      </c>
      <c r="E657" t="s">
        <v>47</v>
      </c>
      <c r="F657" t="s">
        <v>19</v>
      </c>
      <c r="G657">
        <v>20373.04</v>
      </c>
      <c r="H657">
        <v>12000</v>
      </c>
      <c r="I657">
        <v>8373.0400000000009</v>
      </c>
      <c r="J657">
        <v>41.098627999999998</v>
      </c>
    </row>
    <row r="658" spans="1:10" x14ac:dyDescent="0.3">
      <c r="A658" t="s">
        <v>880</v>
      </c>
      <c r="B658" t="s">
        <v>84</v>
      </c>
      <c r="C658" t="s">
        <v>64</v>
      </c>
      <c r="D658" s="1">
        <v>45541</v>
      </c>
      <c r="E658" t="s">
        <v>24</v>
      </c>
      <c r="F658" t="s">
        <v>19</v>
      </c>
      <c r="G658">
        <v>40551.160000000003</v>
      </c>
      <c r="H658">
        <v>12000</v>
      </c>
      <c r="I658">
        <v>28551.16</v>
      </c>
      <c r="J658">
        <v>70.407752000000002</v>
      </c>
    </row>
    <row r="659" spans="1:10" x14ac:dyDescent="0.3">
      <c r="A659" t="s">
        <v>881</v>
      </c>
      <c r="B659" t="s">
        <v>282</v>
      </c>
      <c r="C659" t="s">
        <v>17</v>
      </c>
      <c r="D659" s="1">
        <v>45541</v>
      </c>
      <c r="E659" t="s">
        <v>24</v>
      </c>
      <c r="F659" t="s">
        <v>32</v>
      </c>
      <c r="G659">
        <v>46813.81</v>
      </c>
      <c r="H659">
        <v>30000</v>
      </c>
      <c r="I659">
        <v>16813.810000000001</v>
      </c>
      <c r="J659">
        <v>35.916345999999997</v>
      </c>
    </row>
    <row r="660" spans="1:10" x14ac:dyDescent="0.3">
      <c r="A660" t="s">
        <v>882</v>
      </c>
      <c r="B660" t="s">
        <v>690</v>
      </c>
      <c r="C660" t="s">
        <v>64</v>
      </c>
      <c r="D660" s="1">
        <v>45330</v>
      </c>
      <c r="E660" t="s">
        <v>49</v>
      </c>
      <c r="F660" t="s">
        <v>32</v>
      </c>
      <c r="G660">
        <v>30937.43</v>
      </c>
      <c r="H660">
        <v>30000</v>
      </c>
      <c r="I660">
        <v>937.43</v>
      </c>
      <c r="J660">
        <v>3.030084</v>
      </c>
    </row>
    <row r="661" spans="1:10" x14ac:dyDescent="0.3">
      <c r="A661" t="s">
        <v>883</v>
      </c>
      <c r="B661" t="s">
        <v>43</v>
      </c>
      <c r="C661" t="s">
        <v>40</v>
      </c>
      <c r="D661" s="1">
        <v>45507</v>
      </c>
      <c r="E661" t="s">
        <v>47</v>
      </c>
      <c r="F661" t="s">
        <v>32</v>
      </c>
      <c r="G661">
        <v>41459.089999999997</v>
      </c>
      <c r="H661">
        <v>30000</v>
      </c>
      <c r="I661">
        <v>11459.09</v>
      </c>
      <c r="J661">
        <v>27.639512</v>
      </c>
    </row>
    <row r="662" spans="1:10" x14ac:dyDescent="0.3">
      <c r="A662" t="s">
        <v>884</v>
      </c>
      <c r="B662" t="s">
        <v>583</v>
      </c>
      <c r="C662" t="s">
        <v>64</v>
      </c>
      <c r="D662" s="1">
        <v>45312</v>
      </c>
      <c r="E662" t="s">
        <v>44</v>
      </c>
      <c r="F662" t="s">
        <v>28</v>
      </c>
      <c r="G662">
        <v>18864.740000000002</v>
      </c>
      <c r="H662">
        <v>2000</v>
      </c>
      <c r="I662">
        <v>16864.740000000002</v>
      </c>
      <c r="J662">
        <v>89.398211000000003</v>
      </c>
    </row>
    <row r="663" spans="1:10" x14ac:dyDescent="0.3">
      <c r="A663" t="s">
        <v>885</v>
      </c>
      <c r="B663" t="s">
        <v>539</v>
      </c>
      <c r="C663" t="s">
        <v>64</v>
      </c>
      <c r="D663" s="1">
        <v>45456</v>
      </c>
      <c r="E663" t="s">
        <v>41</v>
      </c>
      <c r="F663" t="s">
        <v>14</v>
      </c>
      <c r="G663">
        <v>35432.400000000001</v>
      </c>
      <c r="H663">
        <v>500</v>
      </c>
      <c r="I663">
        <v>34932.400000000001</v>
      </c>
      <c r="J663">
        <v>98.588862000000006</v>
      </c>
    </row>
    <row r="664" spans="1:10" x14ac:dyDescent="0.3">
      <c r="A664" t="s">
        <v>886</v>
      </c>
      <c r="B664" t="s">
        <v>568</v>
      </c>
      <c r="C664" t="s">
        <v>64</v>
      </c>
      <c r="D664" s="1">
        <v>45634</v>
      </c>
      <c r="E664" t="s">
        <v>95</v>
      </c>
      <c r="F664" t="s">
        <v>32</v>
      </c>
      <c r="G664">
        <v>13161.2</v>
      </c>
      <c r="H664">
        <v>30000</v>
      </c>
      <c r="I664">
        <v>-16838.8</v>
      </c>
      <c r="J664">
        <v>-127.942741</v>
      </c>
    </row>
    <row r="665" spans="1:10" x14ac:dyDescent="0.3">
      <c r="A665" t="s">
        <v>887</v>
      </c>
      <c r="B665" t="s">
        <v>888</v>
      </c>
      <c r="C665" t="s">
        <v>40</v>
      </c>
      <c r="D665" s="1">
        <v>45344</v>
      </c>
      <c r="E665" t="s">
        <v>49</v>
      </c>
      <c r="F665" t="s">
        <v>28</v>
      </c>
      <c r="G665">
        <v>37203.75</v>
      </c>
      <c r="H665">
        <v>2000</v>
      </c>
      <c r="I665">
        <v>35203.75</v>
      </c>
      <c r="J665">
        <v>94.624198000000007</v>
      </c>
    </row>
    <row r="666" spans="1:10" x14ac:dyDescent="0.3">
      <c r="A666" t="s">
        <v>889</v>
      </c>
      <c r="B666" t="s">
        <v>261</v>
      </c>
      <c r="C666" t="s">
        <v>40</v>
      </c>
      <c r="D666" s="1">
        <v>45621</v>
      </c>
      <c r="E666" t="s">
        <v>57</v>
      </c>
      <c r="F666" t="s">
        <v>28</v>
      </c>
      <c r="G666">
        <v>11862.29</v>
      </c>
      <c r="H666">
        <v>2000</v>
      </c>
      <c r="I666">
        <v>9862.2900000000009</v>
      </c>
      <c r="J666">
        <v>83.139848999999998</v>
      </c>
    </row>
    <row r="667" spans="1:10" x14ac:dyDescent="0.3">
      <c r="A667" t="s">
        <v>890</v>
      </c>
      <c r="B667" t="s">
        <v>128</v>
      </c>
      <c r="C667" t="s">
        <v>17</v>
      </c>
      <c r="D667" s="1">
        <v>45602</v>
      </c>
      <c r="E667" t="s">
        <v>57</v>
      </c>
      <c r="F667" t="s">
        <v>28</v>
      </c>
      <c r="G667">
        <v>40860.949999999997</v>
      </c>
      <c r="H667">
        <v>2000</v>
      </c>
      <c r="I667">
        <v>38860.949999999997</v>
      </c>
      <c r="J667">
        <v>95.105350999999999</v>
      </c>
    </row>
    <row r="668" spans="1:10" x14ac:dyDescent="0.3">
      <c r="A668" t="s">
        <v>891</v>
      </c>
      <c r="B668" t="s">
        <v>432</v>
      </c>
      <c r="C668" t="s">
        <v>64</v>
      </c>
      <c r="D668" s="1">
        <v>45399</v>
      </c>
      <c r="E668" t="s">
        <v>27</v>
      </c>
      <c r="F668" t="s">
        <v>19</v>
      </c>
      <c r="G668">
        <v>21862.59</v>
      </c>
      <c r="H668">
        <v>12000</v>
      </c>
      <c r="I668">
        <v>9862.59</v>
      </c>
      <c r="J668">
        <v>45.111718000000003</v>
      </c>
    </row>
    <row r="669" spans="1:10" x14ac:dyDescent="0.3">
      <c r="A669" t="s">
        <v>892</v>
      </c>
      <c r="B669" t="s">
        <v>300</v>
      </c>
      <c r="C669" t="s">
        <v>40</v>
      </c>
      <c r="D669" s="1">
        <v>45326</v>
      </c>
      <c r="E669" t="s">
        <v>49</v>
      </c>
      <c r="F669" t="s">
        <v>32</v>
      </c>
      <c r="G669">
        <v>2615.34</v>
      </c>
      <c r="H669">
        <v>30000</v>
      </c>
      <c r="I669">
        <v>-27384.66</v>
      </c>
      <c r="J669">
        <v>-1047.078391</v>
      </c>
    </row>
    <row r="670" spans="1:10" x14ac:dyDescent="0.3">
      <c r="A670" t="s">
        <v>893</v>
      </c>
      <c r="B670" t="s">
        <v>311</v>
      </c>
      <c r="C670" t="s">
        <v>64</v>
      </c>
      <c r="D670" s="1">
        <v>45555</v>
      </c>
      <c r="E670" t="s">
        <v>24</v>
      </c>
      <c r="F670" t="s">
        <v>28</v>
      </c>
      <c r="G670">
        <v>29525.599999999999</v>
      </c>
      <c r="H670">
        <v>2000</v>
      </c>
      <c r="I670">
        <v>27525.599999999999</v>
      </c>
      <c r="J670">
        <v>93.226217000000005</v>
      </c>
    </row>
    <row r="671" spans="1:10" x14ac:dyDescent="0.3">
      <c r="A671" t="s">
        <v>894</v>
      </c>
      <c r="B671" t="s">
        <v>111</v>
      </c>
      <c r="C671" t="s">
        <v>64</v>
      </c>
      <c r="D671" s="1">
        <v>45539</v>
      </c>
      <c r="E671" t="s">
        <v>24</v>
      </c>
      <c r="F671" t="s">
        <v>14</v>
      </c>
      <c r="G671">
        <v>49235.63</v>
      </c>
      <c r="H671">
        <v>500</v>
      </c>
      <c r="I671">
        <v>48735.63</v>
      </c>
      <c r="J671">
        <v>98.984475000000003</v>
      </c>
    </row>
    <row r="672" spans="1:10" x14ac:dyDescent="0.3">
      <c r="A672" t="s">
        <v>895</v>
      </c>
      <c r="B672" t="s">
        <v>223</v>
      </c>
      <c r="C672" t="s">
        <v>64</v>
      </c>
      <c r="D672" s="1">
        <v>45558</v>
      </c>
      <c r="E672" t="s">
        <v>24</v>
      </c>
      <c r="F672" t="s">
        <v>19</v>
      </c>
      <c r="G672">
        <v>32337.81</v>
      </c>
      <c r="H672">
        <v>12000</v>
      </c>
      <c r="I672">
        <v>20337.810000000001</v>
      </c>
      <c r="J672">
        <v>62.891736000000002</v>
      </c>
    </row>
    <row r="673" spans="1:10" x14ac:dyDescent="0.3">
      <c r="A673" t="s">
        <v>896</v>
      </c>
      <c r="B673" t="s">
        <v>111</v>
      </c>
      <c r="C673" t="s">
        <v>64</v>
      </c>
      <c r="D673" s="1">
        <v>45429</v>
      </c>
      <c r="E673" t="s">
        <v>37</v>
      </c>
      <c r="F673" t="s">
        <v>19</v>
      </c>
      <c r="G673">
        <v>18509.78</v>
      </c>
      <c r="H673">
        <v>12000</v>
      </c>
      <c r="I673">
        <v>6509.78</v>
      </c>
      <c r="J673">
        <v>35.169407999999997</v>
      </c>
    </row>
    <row r="674" spans="1:10" x14ac:dyDescent="0.3">
      <c r="A674" t="s">
        <v>897</v>
      </c>
      <c r="B674" t="s">
        <v>291</v>
      </c>
      <c r="C674" t="s">
        <v>12</v>
      </c>
      <c r="D674" s="1">
        <v>45498</v>
      </c>
      <c r="E674" t="s">
        <v>31</v>
      </c>
      <c r="F674" t="s">
        <v>19</v>
      </c>
      <c r="G674">
        <v>28340.37</v>
      </c>
      <c r="H674">
        <v>12000</v>
      </c>
      <c r="I674">
        <v>16340.37</v>
      </c>
      <c r="J674">
        <v>57.657575000000001</v>
      </c>
    </row>
    <row r="675" spans="1:10" x14ac:dyDescent="0.3">
      <c r="A675" t="s">
        <v>898</v>
      </c>
      <c r="B675" t="s">
        <v>672</v>
      </c>
      <c r="C675" t="s">
        <v>17</v>
      </c>
      <c r="D675" s="1">
        <v>45362</v>
      </c>
      <c r="E675" t="s">
        <v>18</v>
      </c>
      <c r="F675" t="s">
        <v>19</v>
      </c>
      <c r="G675">
        <v>38666.75</v>
      </c>
      <c r="H675">
        <v>12000</v>
      </c>
      <c r="I675">
        <v>26666.75</v>
      </c>
      <c r="J675">
        <v>68.965584000000007</v>
      </c>
    </row>
    <row r="676" spans="1:10" x14ac:dyDescent="0.3">
      <c r="A676" t="s">
        <v>899</v>
      </c>
      <c r="B676" t="s">
        <v>259</v>
      </c>
      <c r="C676" t="s">
        <v>17</v>
      </c>
      <c r="D676" s="1">
        <v>45509</v>
      </c>
      <c r="E676" t="s">
        <v>47</v>
      </c>
      <c r="F676" t="s">
        <v>28</v>
      </c>
      <c r="G676">
        <v>31248.09</v>
      </c>
      <c r="H676">
        <v>2000</v>
      </c>
      <c r="I676">
        <v>29248.09</v>
      </c>
      <c r="J676">
        <v>93.599609000000001</v>
      </c>
    </row>
    <row r="677" spans="1:10" x14ac:dyDescent="0.3">
      <c r="A677" t="s">
        <v>900</v>
      </c>
      <c r="B677" t="s">
        <v>901</v>
      </c>
      <c r="C677" t="s">
        <v>40</v>
      </c>
      <c r="D677" s="1">
        <v>45481</v>
      </c>
      <c r="E677" t="s">
        <v>31</v>
      </c>
      <c r="F677" t="s">
        <v>28</v>
      </c>
      <c r="G677">
        <v>29408.27</v>
      </c>
      <c r="H677">
        <v>2000</v>
      </c>
      <c r="I677">
        <v>27408.27</v>
      </c>
      <c r="J677">
        <v>93.199191999999996</v>
      </c>
    </row>
    <row r="678" spans="1:10" x14ac:dyDescent="0.3">
      <c r="A678" t="s">
        <v>902</v>
      </c>
      <c r="B678" t="s">
        <v>377</v>
      </c>
      <c r="C678" t="s">
        <v>17</v>
      </c>
      <c r="D678" s="1">
        <v>45473</v>
      </c>
      <c r="E678" t="s">
        <v>41</v>
      </c>
      <c r="F678" t="s">
        <v>28</v>
      </c>
      <c r="G678">
        <v>18412.45</v>
      </c>
      <c r="H678">
        <v>2000</v>
      </c>
      <c r="I678">
        <v>16412.45</v>
      </c>
      <c r="J678">
        <v>89.137783999999996</v>
      </c>
    </row>
    <row r="679" spans="1:10" x14ac:dyDescent="0.3">
      <c r="A679" t="s">
        <v>903</v>
      </c>
      <c r="B679" t="s">
        <v>82</v>
      </c>
      <c r="C679" t="s">
        <v>17</v>
      </c>
      <c r="D679" s="1">
        <v>45458</v>
      </c>
      <c r="E679" t="s">
        <v>41</v>
      </c>
      <c r="F679" t="s">
        <v>19</v>
      </c>
      <c r="G679">
        <v>46652.08</v>
      </c>
      <c r="H679">
        <v>12000</v>
      </c>
      <c r="I679">
        <v>34652.080000000002</v>
      </c>
      <c r="J679">
        <v>74.277674000000005</v>
      </c>
    </row>
    <row r="680" spans="1:10" x14ac:dyDescent="0.3">
      <c r="A680" t="s">
        <v>904</v>
      </c>
      <c r="B680" t="s">
        <v>905</v>
      </c>
      <c r="C680" t="s">
        <v>64</v>
      </c>
      <c r="D680" s="1">
        <v>45522</v>
      </c>
      <c r="E680" t="s">
        <v>47</v>
      </c>
      <c r="F680" t="s">
        <v>14</v>
      </c>
      <c r="G680">
        <v>22099.03</v>
      </c>
      <c r="H680">
        <v>500</v>
      </c>
      <c r="I680">
        <v>21599.03</v>
      </c>
      <c r="J680">
        <v>97.737457000000006</v>
      </c>
    </row>
    <row r="681" spans="1:10" x14ac:dyDescent="0.3">
      <c r="A681" t="s">
        <v>906</v>
      </c>
      <c r="B681" t="s">
        <v>111</v>
      </c>
      <c r="C681" t="s">
        <v>64</v>
      </c>
      <c r="D681" s="1">
        <v>45636</v>
      </c>
      <c r="E681" t="s">
        <v>95</v>
      </c>
      <c r="F681" t="s">
        <v>32</v>
      </c>
      <c r="G681">
        <v>44111.58</v>
      </c>
      <c r="H681">
        <v>30000</v>
      </c>
      <c r="I681">
        <v>14111.58</v>
      </c>
      <c r="J681">
        <v>31.990646999999999</v>
      </c>
    </row>
    <row r="682" spans="1:10" x14ac:dyDescent="0.3">
      <c r="A682" t="s">
        <v>907</v>
      </c>
      <c r="B682" t="s">
        <v>393</v>
      </c>
      <c r="C682" t="s">
        <v>64</v>
      </c>
      <c r="D682" s="1">
        <v>45484</v>
      </c>
      <c r="E682" t="s">
        <v>31</v>
      </c>
      <c r="F682" t="s">
        <v>19</v>
      </c>
      <c r="G682">
        <v>29023.74</v>
      </c>
      <c r="H682">
        <v>12000</v>
      </c>
      <c r="I682">
        <v>17023.740000000002</v>
      </c>
      <c r="J682">
        <v>58.654536</v>
      </c>
    </row>
    <row r="683" spans="1:10" x14ac:dyDescent="0.3">
      <c r="A683" t="s">
        <v>908</v>
      </c>
      <c r="B683" t="s">
        <v>545</v>
      </c>
      <c r="C683" t="s">
        <v>40</v>
      </c>
      <c r="D683" s="1">
        <v>45590</v>
      </c>
      <c r="E683" t="s">
        <v>13</v>
      </c>
      <c r="F683" t="s">
        <v>14</v>
      </c>
      <c r="G683">
        <v>25407.759999999998</v>
      </c>
      <c r="H683">
        <v>500</v>
      </c>
      <c r="I683">
        <v>24907.759999999998</v>
      </c>
      <c r="J683">
        <v>98.032096999999993</v>
      </c>
    </row>
    <row r="684" spans="1:10" x14ac:dyDescent="0.3">
      <c r="A684" t="s">
        <v>909</v>
      </c>
      <c r="B684" t="s">
        <v>428</v>
      </c>
      <c r="C684" t="s">
        <v>64</v>
      </c>
      <c r="D684" s="1">
        <v>45334</v>
      </c>
      <c r="E684" t="s">
        <v>49</v>
      </c>
      <c r="F684" t="s">
        <v>19</v>
      </c>
      <c r="G684">
        <v>8174.09</v>
      </c>
      <c r="H684">
        <v>12000</v>
      </c>
      <c r="I684">
        <v>-3825.91</v>
      </c>
      <c r="J684">
        <v>-46.805332</v>
      </c>
    </row>
    <row r="685" spans="1:10" x14ac:dyDescent="0.3">
      <c r="A685" t="s">
        <v>910</v>
      </c>
      <c r="B685" t="s">
        <v>328</v>
      </c>
      <c r="C685" t="s">
        <v>40</v>
      </c>
      <c r="D685" s="1">
        <v>45563</v>
      </c>
      <c r="E685" t="s">
        <v>24</v>
      </c>
      <c r="F685" t="s">
        <v>32</v>
      </c>
      <c r="G685">
        <v>17201.13</v>
      </c>
      <c r="H685">
        <v>30000</v>
      </c>
      <c r="I685">
        <v>-12798.87</v>
      </c>
      <c r="J685">
        <v>-74.407146999999995</v>
      </c>
    </row>
    <row r="686" spans="1:10" x14ac:dyDescent="0.3">
      <c r="A686" t="s">
        <v>911</v>
      </c>
      <c r="B686" t="s">
        <v>609</v>
      </c>
      <c r="C686" t="s">
        <v>12</v>
      </c>
      <c r="D686" s="1">
        <v>45395</v>
      </c>
      <c r="E686" t="s">
        <v>27</v>
      </c>
      <c r="F686" t="s">
        <v>19</v>
      </c>
      <c r="G686">
        <v>19865.740000000002</v>
      </c>
      <c r="H686">
        <v>12000</v>
      </c>
      <c r="I686">
        <v>7865.74</v>
      </c>
      <c r="J686">
        <v>39.594498000000002</v>
      </c>
    </row>
    <row r="687" spans="1:10" x14ac:dyDescent="0.3">
      <c r="A687" t="s">
        <v>912</v>
      </c>
      <c r="B687" t="s">
        <v>334</v>
      </c>
      <c r="C687" t="s">
        <v>17</v>
      </c>
      <c r="D687" s="1">
        <v>45397</v>
      </c>
      <c r="E687" t="s">
        <v>27</v>
      </c>
      <c r="F687" t="s">
        <v>14</v>
      </c>
      <c r="G687">
        <v>6588.56</v>
      </c>
      <c r="H687">
        <v>500</v>
      </c>
      <c r="I687">
        <v>6088.56</v>
      </c>
      <c r="J687">
        <v>92.411088000000007</v>
      </c>
    </row>
    <row r="688" spans="1:10" x14ac:dyDescent="0.3">
      <c r="A688" t="s">
        <v>913</v>
      </c>
      <c r="B688" t="s">
        <v>505</v>
      </c>
      <c r="C688" t="s">
        <v>40</v>
      </c>
      <c r="D688" s="1">
        <v>45561</v>
      </c>
      <c r="E688" t="s">
        <v>24</v>
      </c>
      <c r="F688" t="s">
        <v>28</v>
      </c>
      <c r="G688">
        <v>25253.47</v>
      </c>
      <c r="H688">
        <v>2000</v>
      </c>
      <c r="I688">
        <v>23253.47</v>
      </c>
      <c r="J688">
        <v>92.080296000000004</v>
      </c>
    </row>
    <row r="689" spans="1:10" x14ac:dyDescent="0.3">
      <c r="A689" t="s">
        <v>914</v>
      </c>
      <c r="B689" t="s">
        <v>182</v>
      </c>
      <c r="C689" t="s">
        <v>12</v>
      </c>
      <c r="D689" s="1">
        <v>45373</v>
      </c>
      <c r="E689" t="s">
        <v>18</v>
      </c>
      <c r="F689" t="s">
        <v>14</v>
      </c>
      <c r="G689">
        <v>32352.19</v>
      </c>
      <c r="H689">
        <v>500</v>
      </c>
      <c r="I689">
        <v>31852.19</v>
      </c>
      <c r="J689">
        <v>98.454509999999999</v>
      </c>
    </row>
    <row r="690" spans="1:10" x14ac:dyDescent="0.3">
      <c r="A690" t="s">
        <v>915</v>
      </c>
      <c r="B690" t="s">
        <v>88</v>
      </c>
      <c r="C690" t="s">
        <v>17</v>
      </c>
      <c r="D690" s="1">
        <v>45517</v>
      </c>
      <c r="E690" t="s">
        <v>47</v>
      </c>
      <c r="F690" t="s">
        <v>14</v>
      </c>
      <c r="G690">
        <v>17386.52</v>
      </c>
      <c r="H690">
        <v>500</v>
      </c>
      <c r="I690">
        <v>16886.52</v>
      </c>
      <c r="J690">
        <v>97.124208999999993</v>
      </c>
    </row>
    <row r="691" spans="1:10" x14ac:dyDescent="0.3">
      <c r="A691" t="s">
        <v>916</v>
      </c>
      <c r="B691" t="s">
        <v>231</v>
      </c>
      <c r="C691" t="s">
        <v>64</v>
      </c>
      <c r="D691" s="1">
        <v>45578</v>
      </c>
      <c r="E691" t="s">
        <v>13</v>
      </c>
      <c r="F691" t="s">
        <v>19</v>
      </c>
      <c r="G691">
        <v>18040.88</v>
      </c>
      <c r="H691">
        <v>12000</v>
      </c>
      <c r="I691">
        <v>6040.88</v>
      </c>
      <c r="J691">
        <v>33.484397999999999</v>
      </c>
    </row>
    <row r="692" spans="1:10" x14ac:dyDescent="0.3">
      <c r="A692" t="s">
        <v>917</v>
      </c>
      <c r="B692" t="s">
        <v>309</v>
      </c>
      <c r="C692" t="s">
        <v>17</v>
      </c>
      <c r="D692" s="1">
        <v>45579</v>
      </c>
      <c r="E692" t="s">
        <v>13</v>
      </c>
      <c r="F692" t="s">
        <v>32</v>
      </c>
      <c r="G692">
        <v>19879.48</v>
      </c>
      <c r="H692">
        <v>30000</v>
      </c>
      <c r="I692">
        <v>-10120.52</v>
      </c>
      <c r="J692">
        <v>-50.909379999999999</v>
      </c>
    </row>
    <row r="693" spans="1:10" x14ac:dyDescent="0.3">
      <c r="A693" t="s">
        <v>918</v>
      </c>
      <c r="B693" t="s">
        <v>619</v>
      </c>
      <c r="C693" t="s">
        <v>40</v>
      </c>
      <c r="D693" s="1">
        <v>45634</v>
      </c>
      <c r="E693" t="s">
        <v>95</v>
      </c>
      <c r="F693" t="s">
        <v>14</v>
      </c>
      <c r="G693">
        <v>22799.01</v>
      </c>
      <c r="H693">
        <v>500</v>
      </c>
      <c r="I693">
        <v>22299.01</v>
      </c>
      <c r="J693">
        <v>97.806922</v>
      </c>
    </row>
    <row r="694" spans="1:10" x14ac:dyDescent="0.3">
      <c r="A694" t="s">
        <v>919</v>
      </c>
      <c r="B694" t="s">
        <v>306</v>
      </c>
      <c r="C694" t="s">
        <v>12</v>
      </c>
      <c r="D694" s="1">
        <v>45324</v>
      </c>
      <c r="E694" t="s">
        <v>49</v>
      </c>
      <c r="F694" t="s">
        <v>19</v>
      </c>
      <c r="G694">
        <v>32335.01</v>
      </c>
      <c r="H694">
        <v>12000</v>
      </c>
      <c r="I694">
        <v>20335.009999999998</v>
      </c>
      <c r="J694">
        <v>62.888522000000002</v>
      </c>
    </row>
    <row r="695" spans="1:10" x14ac:dyDescent="0.3">
      <c r="A695" t="s">
        <v>920</v>
      </c>
      <c r="B695" t="s">
        <v>377</v>
      </c>
      <c r="C695" t="s">
        <v>17</v>
      </c>
      <c r="D695" s="1">
        <v>45429</v>
      </c>
      <c r="E695" t="s">
        <v>37</v>
      </c>
      <c r="F695" t="s">
        <v>14</v>
      </c>
      <c r="G695">
        <v>38488.339999999997</v>
      </c>
      <c r="H695">
        <v>500</v>
      </c>
      <c r="I695">
        <v>37988.339999999997</v>
      </c>
      <c r="J695">
        <v>98.700905000000006</v>
      </c>
    </row>
    <row r="696" spans="1:10" x14ac:dyDescent="0.3">
      <c r="A696" t="s">
        <v>921</v>
      </c>
      <c r="B696" t="s">
        <v>655</v>
      </c>
      <c r="C696" t="s">
        <v>64</v>
      </c>
      <c r="D696" s="1">
        <v>45536</v>
      </c>
      <c r="E696" t="s">
        <v>24</v>
      </c>
      <c r="F696" t="s">
        <v>32</v>
      </c>
      <c r="G696">
        <v>47395.67</v>
      </c>
      <c r="H696">
        <v>30000</v>
      </c>
      <c r="I696">
        <v>17395.669999999998</v>
      </c>
      <c r="J696">
        <v>36.703079000000002</v>
      </c>
    </row>
    <row r="697" spans="1:10" x14ac:dyDescent="0.3">
      <c r="A697" t="s">
        <v>922</v>
      </c>
      <c r="B697" t="s">
        <v>23</v>
      </c>
      <c r="C697" t="s">
        <v>12</v>
      </c>
      <c r="D697" s="1">
        <v>45500</v>
      </c>
      <c r="E697" t="s">
        <v>31</v>
      </c>
      <c r="F697" t="s">
        <v>28</v>
      </c>
      <c r="G697">
        <v>40445.42</v>
      </c>
      <c r="H697">
        <v>2000</v>
      </c>
      <c r="I697">
        <v>38445.42</v>
      </c>
      <c r="J697">
        <v>95.055064000000002</v>
      </c>
    </row>
    <row r="698" spans="1:10" x14ac:dyDescent="0.3">
      <c r="A698" t="s">
        <v>923</v>
      </c>
      <c r="B698" t="s">
        <v>80</v>
      </c>
      <c r="C698" t="s">
        <v>64</v>
      </c>
      <c r="D698" s="1">
        <v>45538</v>
      </c>
      <c r="E698" t="s">
        <v>24</v>
      </c>
      <c r="F698" t="s">
        <v>19</v>
      </c>
      <c r="G698">
        <v>24355.67</v>
      </c>
      <c r="H698">
        <v>12000</v>
      </c>
      <c r="I698">
        <v>12355.67</v>
      </c>
      <c r="J698">
        <v>50.730159</v>
      </c>
    </row>
    <row r="699" spans="1:10" x14ac:dyDescent="0.3">
      <c r="A699" t="s">
        <v>924</v>
      </c>
      <c r="B699" t="s">
        <v>331</v>
      </c>
      <c r="C699" t="s">
        <v>12</v>
      </c>
      <c r="D699" s="1">
        <v>45464</v>
      </c>
      <c r="E699" t="s">
        <v>41</v>
      </c>
      <c r="F699" t="s">
        <v>19</v>
      </c>
      <c r="G699">
        <v>30881.67</v>
      </c>
      <c r="H699">
        <v>12000</v>
      </c>
      <c r="I699">
        <v>18881.669999999998</v>
      </c>
      <c r="J699">
        <v>61.141998000000001</v>
      </c>
    </row>
    <row r="700" spans="1:10" x14ac:dyDescent="0.3">
      <c r="A700" t="s">
        <v>925</v>
      </c>
      <c r="B700" t="s">
        <v>377</v>
      </c>
      <c r="C700" t="s">
        <v>17</v>
      </c>
      <c r="D700" s="1">
        <v>45306</v>
      </c>
      <c r="E700" t="s">
        <v>44</v>
      </c>
      <c r="F700" t="s">
        <v>19</v>
      </c>
      <c r="G700">
        <v>16538.439999999999</v>
      </c>
      <c r="H700">
        <v>12000</v>
      </c>
      <c r="I700">
        <v>4538.4399999999996</v>
      </c>
      <c r="J700">
        <v>27.441766000000001</v>
      </c>
    </row>
    <row r="701" spans="1:10" x14ac:dyDescent="0.3">
      <c r="A701" t="s">
        <v>926</v>
      </c>
      <c r="B701" t="s">
        <v>167</v>
      </c>
      <c r="C701" t="s">
        <v>40</v>
      </c>
      <c r="D701" s="1">
        <v>45467</v>
      </c>
      <c r="E701" t="s">
        <v>41</v>
      </c>
      <c r="F701" t="s">
        <v>32</v>
      </c>
      <c r="G701">
        <v>24455.93</v>
      </c>
      <c r="H701">
        <v>30000</v>
      </c>
      <c r="I701">
        <v>-5544.07</v>
      </c>
      <c r="J701">
        <v>-22.669635</v>
      </c>
    </row>
    <row r="702" spans="1:10" x14ac:dyDescent="0.3">
      <c r="A702" t="s">
        <v>927</v>
      </c>
      <c r="B702" t="s">
        <v>54</v>
      </c>
      <c r="C702" t="s">
        <v>40</v>
      </c>
      <c r="D702" s="1">
        <v>45413</v>
      </c>
      <c r="E702" t="s">
        <v>37</v>
      </c>
      <c r="F702" t="s">
        <v>19</v>
      </c>
      <c r="G702">
        <v>38164.26</v>
      </c>
      <c r="H702">
        <v>12000</v>
      </c>
      <c r="I702">
        <v>26164.26</v>
      </c>
      <c r="J702">
        <v>68.556968999999995</v>
      </c>
    </row>
    <row r="703" spans="1:10" x14ac:dyDescent="0.3">
      <c r="A703" t="s">
        <v>928</v>
      </c>
      <c r="B703" t="s">
        <v>150</v>
      </c>
      <c r="C703" t="s">
        <v>64</v>
      </c>
      <c r="D703" s="1">
        <v>45447</v>
      </c>
      <c r="E703" t="s">
        <v>41</v>
      </c>
      <c r="F703" t="s">
        <v>32</v>
      </c>
      <c r="G703">
        <v>33995.43</v>
      </c>
      <c r="H703">
        <v>30000</v>
      </c>
      <c r="I703">
        <v>3995.43</v>
      </c>
      <c r="J703">
        <v>11.752844</v>
      </c>
    </row>
    <row r="704" spans="1:10" x14ac:dyDescent="0.3">
      <c r="A704" t="s">
        <v>929</v>
      </c>
      <c r="B704" t="s">
        <v>274</v>
      </c>
      <c r="C704" t="s">
        <v>40</v>
      </c>
      <c r="D704" s="1">
        <v>45332</v>
      </c>
      <c r="E704" t="s">
        <v>49</v>
      </c>
      <c r="F704" t="s">
        <v>14</v>
      </c>
      <c r="G704">
        <v>3845.17</v>
      </c>
      <c r="H704">
        <v>500</v>
      </c>
      <c r="I704">
        <v>3345.17</v>
      </c>
      <c r="J704">
        <v>86.996673999999999</v>
      </c>
    </row>
    <row r="705" spans="1:10" x14ac:dyDescent="0.3">
      <c r="A705" t="s">
        <v>930</v>
      </c>
      <c r="B705" t="s">
        <v>619</v>
      </c>
      <c r="C705" t="s">
        <v>40</v>
      </c>
      <c r="D705" s="1">
        <v>45410</v>
      </c>
      <c r="E705" t="s">
        <v>27</v>
      </c>
      <c r="F705" t="s">
        <v>14</v>
      </c>
      <c r="G705">
        <v>45237.49</v>
      </c>
      <c r="H705">
        <v>500</v>
      </c>
      <c r="I705">
        <v>44737.49</v>
      </c>
      <c r="J705">
        <v>98.894722000000002</v>
      </c>
    </row>
    <row r="706" spans="1:10" x14ac:dyDescent="0.3">
      <c r="A706" t="s">
        <v>931</v>
      </c>
      <c r="B706" t="s">
        <v>297</v>
      </c>
      <c r="C706" t="s">
        <v>17</v>
      </c>
      <c r="D706" s="1">
        <v>45635</v>
      </c>
      <c r="E706" t="s">
        <v>95</v>
      </c>
      <c r="F706" t="s">
        <v>19</v>
      </c>
      <c r="G706">
        <v>25424.25</v>
      </c>
      <c r="H706">
        <v>12000</v>
      </c>
      <c r="I706">
        <v>13424.25</v>
      </c>
      <c r="J706">
        <v>52.800967999999997</v>
      </c>
    </row>
    <row r="707" spans="1:10" x14ac:dyDescent="0.3">
      <c r="A707" t="s">
        <v>932</v>
      </c>
      <c r="B707" t="s">
        <v>117</v>
      </c>
      <c r="C707" t="s">
        <v>64</v>
      </c>
      <c r="D707" s="1">
        <v>45555</v>
      </c>
      <c r="E707" t="s">
        <v>24</v>
      </c>
      <c r="F707" t="s">
        <v>28</v>
      </c>
      <c r="G707">
        <v>42561.29</v>
      </c>
      <c r="H707">
        <v>2000</v>
      </c>
      <c r="I707">
        <v>40561.29</v>
      </c>
      <c r="J707">
        <v>95.300894</v>
      </c>
    </row>
    <row r="708" spans="1:10" x14ac:dyDescent="0.3">
      <c r="A708" t="s">
        <v>933</v>
      </c>
      <c r="B708" t="s">
        <v>367</v>
      </c>
      <c r="C708" t="s">
        <v>40</v>
      </c>
      <c r="D708" s="1">
        <v>45354</v>
      </c>
      <c r="E708" t="s">
        <v>18</v>
      </c>
      <c r="F708" t="s">
        <v>19</v>
      </c>
      <c r="G708">
        <v>34310.65</v>
      </c>
      <c r="H708">
        <v>12000</v>
      </c>
      <c r="I708">
        <v>22310.65</v>
      </c>
      <c r="J708">
        <v>65.025436999999997</v>
      </c>
    </row>
    <row r="709" spans="1:10" x14ac:dyDescent="0.3">
      <c r="A709" t="s">
        <v>934</v>
      </c>
      <c r="B709" t="s">
        <v>374</v>
      </c>
      <c r="C709" t="s">
        <v>64</v>
      </c>
      <c r="D709" s="1">
        <v>45399</v>
      </c>
      <c r="E709" t="s">
        <v>27</v>
      </c>
      <c r="F709" t="s">
        <v>28</v>
      </c>
      <c r="G709">
        <v>50316.78</v>
      </c>
      <c r="H709">
        <v>2000</v>
      </c>
      <c r="I709">
        <v>48316.78</v>
      </c>
      <c r="J709">
        <v>96.025182999999998</v>
      </c>
    </row>
    <row r="710" spans="1:10" x14ac:dyDescent="0.3">
      <c r="A710" t="s">
        <v>935</v>
      </c>
      <c r="B710" t="s">
        <v>99</v>
      </c>
      <c r="C710" t="s">
        <v>17</v>
      </c>
      <c r="D710" s="1">
        <v>45533</v>
      </c>
      <c r="E710" t="s">
        <v>47</v>
      </c>
      <c r="F710" t="s">
        <v>19</v>
      </c>
      <c r="G710">
        <v>14263.47</v>
      </c>
      <c r="H710">
        <v>12000</v>
      </c>
      <c r="I710">
        <v>2263.4699999999998</v>
      </c>
      <c r="J710">
        <v>15.869</v>
      </c>
    </row>
    <row r="711" spans="1:10" x14ac:dyDescent="0.3">
      <c r="A711" t="s">
        <v>936</v>
      </c>
      <c r="B711" t="s">
        <v>683</v>
      </c>
      <c r="C711" t="s">
        <v>40</v>
      </c>
      <c r="D711" s="1">
        <v>45409</v>
      </c>
      <c r="E711" t="s">
        <v>27</v>
      </c>
      <c r="F711" t="s">
        <v>14</v>
      </c>
      <c r="G711">
        <v>46148.800000000003</v>
      </c>
      <c r="H711">
        <v>500</v>
      </c>
      <c r="I711">
        <v>45648.800000000003</v>
      </c>
      <c r="J711">
        <v>98.916548000000006</v>
      </c>
    </row>
    <row r="712" spans="1:10" x14ac:dyDescent="0.3">
      <c r="A712" t="s">
        <v>937</v>
      </c>
      <c r="B712" t="s">
        <v>291</v>
      </c>
      <c r="C712" t="s">
        <v>12</v>
      </c>
      <c r="D712" s="1">
        <v>45501</v>
      </c>
      <c r="E712" t="s">
        <v>31</v>
      </c>
      <c r="F712" t="s">
        <v>19</v>
      </c>
      <c r="G712">
        <v>37950.85</v>
      </c>
      <c r="H712">
        <v>12000</v>
      </c>
      <c r="I712">
        <v>25950.85</v>
      </c>
      <c r="J712">
        <v>68.380155000000002</v>
      </c>
    </row>
    <row r="713" spans="1:10" x14ac:dyDescent="0.3">
      <c r="A713" t="s">
        <v>938</v>
      </c>
      <c r="B713" t="s">
        <v>393</v>
      </c>
      <c r="C713" t="s">
        <v>64</v>
      </c>
      <c r="D713" s="1">
        <v>45490</v>
      </c>
      <c r="E713" t="s">
        <v>31</v>
      </c>
      <c r="F713" t="s">
        <v>28</v>
      </c>
      <c r="G713">
        <v>47847.47</v>
      </c>
      <c r="H713">
        <v>2000</v>
      </c>
      <c r="I713">
        <v>45847.47</v>
      </c>
      <c r="J713">
        <v>95.820051000000007</v>
      </c>
    </row>
    <row r="714" spans="1:10" x14ac:dyDescent="0.3">
      <c r="A714" t="s">
        <v>939</v>
      </c>
      <c r="B714" t="s">
        <v>105</v>
      </c>
      <c r="C714" t="s">
        <v>64</v>
      </c>
      <c r="D714" s="1">
        <v>45646</v>
      </c>
      <c r="E714" t="s">
        <v>95</v>
      </c>
      <c r="F714" t="s">
        <v>28</v>
      </c>
      <c r="G714">
        <v>37468.339999999997</v>
      </c>
      <c r="H714">
        <v>2000</v>
      </c>
      <c r="I714">
        <v>35468.339999999997</v>
      </c>
      <c r="J714">
        <v>94.66216</v>
      </c>
    </row>
    <row r="715" spans="1:10" x14ac:dyDescent="0.3">
      <c r="A715" t="s">
        <v>940</v>
      </c>
      <c r="B715" t="s">
        <v>103</v>
      </c>
      <c r="C715" t="s">
        <v>12</v>
      </c>
      <c r="D715" s="1">
        <v>45376</v>
      </c>
      <c r="E715" t="s">
        <v>18</v>
      </c>
      <c r="F715" t="s">
        <v>32</v>
      </c>
      <c r="G715">
        <v>23364.49</v>
      </c>
      <c r="H715">
        <v>30000</v>
      </c>
      <c r="I715">
        <v>-6635.51</v>
      </c>
      <c r="J715">
        <v>-28.399978000000001</v>
      </c>
    </row>
    <row r="716" spans="1:10" x14ac:dyDescent="0.3">
      <c r="A716" t="s">
        <v>941</v>
      </c>
      <c r="B716" t="s">
        <v>36</v>
      </c>
      <c r="C716" t="s">
        <v>17</v>
      </c>
      <c r="D716" s="1">
        <v>45372</v>
      </c>
      <c r="E716" t="s">
        <v>18</v>
      </c>
      <c r="F716" t="s">
        <v>19</v>
      </c>
      <c r="G716">
        <v>42320.46</v>
      </c>
      <c r="H716">
        <v>12000</v>
      </c>
      <c r="I716">
        <v>30320.46</v>
      </c>
      <c r="J716">
        <v>71.644920999999997</v>
      </c>
    </row>
    <row r="717" spans="1:10" x14ac:dyDescent="0.3">
      <c r="A717" t="s">
        <v>942</v>
      </c>
      <c r="B717" t="s">
        <v>139</v>
      </c>
      <c r="C717" t="s">
        <v>17</v>
      </c>
      <c r="D717" s="1">
        <v>45544</v>
      </c>
      <c r="E717" t="s">
        <v>24</v>
      </c>
      <c r="F717" t="s">
        <v>28</v>
      </c>
      <c r="G717">
        <v>29613.31</v>
      </c>
      <c r="H717">
        <v>2000</v>
      </c>
      <c r="I717">
        <v>27613.31</v>
      </c>
      <c r="J717">
        <v>93.246279999999999</v>
      </c>
    </row>
    <row r="718" spans="1:10" x14ac:dyDescent="0.3">
      <c r="A718" t="s">
        <v>943</v>
      </c>
      <c r="B718" t="s">
        <v>152</v>
      </c>
      <c r="C718" t="s">
        <v>17</v>
      </c>
      <c r="D718" s="1">
        <v>45312</v>
      </c>
      <c r="E718" t="s">
        <v>44</v>
      </c>
      <c r="F718" t="s">
        <v>14</v>
      </c>
      <c r="G718">
        <v>30267.14</v>
      </c>
      <c r="H718">
        <v>500</v>
      </c>
      <c r="I718">
        <v>29767.14</v>
      </c>
      <c r="J718">
        <v>98.348043000000004</v>
      </c>
    </row>
    <row r="719" spans="1:10" x14ac:dyDescent="0.3">
      <c r="A719" t="s">
        <v>944</v>
      </c>
      <c r="B719" t="s">
        <v>334</v>
      </c>
      <c r="C719" t="s">
        <v>17</v>
      </c>
      <c r="D719" s="1">
        <v>45620</v>
      </c>
      <c r="E719" t="s">
        <v>57</v>
      </c>
      <c r="F719" t="s">
        <v>32</v>
      </c>
      <c r="G719">
        <v>32500.47</v>
      </c>
      <c r="H719">
        <v>30000</v>
      </c>
      <c r="I719">
        <v>2500.4699999999998</v>
      </c>
      <c r="J719">
        <v>7.6936429999999998</v>
      </c>
    </row>
    <row r="720" spans="1:10" x14ac:dyDescent="0.3">
      <c r="A720" t="s">
        <v>945</v>
      </c>
      <c r="B720" t="s">
        <v>655</v>
      </c>
      <c r="C720" t="s">
        <v>64</v>
      </c>
      <c r="D720" s="1">
        <v>45393</v>
      </c>
      <c r="E720" t="s">
        <v>27</v>
      </c>
      <c r="F720" t="s">
        <v>32</v>
      </c>
      <c r="G720">
        <v>17774.05</v>
      </c>
      <c r="H720">
        <v>30000</v>
      </c>
      <c r="I720">
        <v>-12225.95</v>
      </c>
      <c r="J720">
        <v>-68.785392000000002</v>
      </c>
    </row>
    <row r="721" spans="1:10" x14ac:dyDescent="0.3">
      <c r="A721" t="s">
        <v>946</v>
      </c>
      <c r="B721" t="s">
        <v>276</v>
      </c>
      <c r="C721" t="s">
        <v>40</v>
      </c>
      <c r="D721" s="1">
        <v>45373</v>
      </c>
      <c r="E721" t="s">
        <v>18</v>
      </c>
      <c r="F721" t="s">
        <v>14</v>
      </c>
      <c r="G721">
        <v>3609.02</v>
      </c>
      <c r="H721">
        <v>500</v>
      </c>
      <c r="I721">
        <v>3109.02</v>
      </c>
      <c r="J721">
        <v>86.145824000000005</v>
      </c>
    </row>
    <row r="722" spans="1:10" x14ac:dyDescent="0.3">
      <c r="A722" t="s">
        <v>947</v>
      </c>
      <c r="B722" t="s">
        <v>66</v>
      </c>
      <c r="C722" t="s">
        <v>40</v>
      </c>
      <c r="D722" s="1">
        <v>45465</v>
      </c>
      <c r="E722" t="s">
        <v>41</v>
      </c>
      <c r="F722" t="s">
        <v>14</v>
      </c>
      <c r="G722">
        <v>38714.44</v>
      </c>
      <c r="H722">
        <v>500</v>
      </c>
      <c r="I722">
        <v>38214.44</v>
      </c>
      <c r="J722">
        <v>98.708492000000007</v>
      </c>
    </row>
    <row r="723" spans="1:10" x14ac:dyDescent="0.3">
      <c r="A723" t="s">
        <v>948</v>
      </c>
      <c r="B723" t="s">
        <v>30</v>
      </c>
      <c r="C723" t="s">
        <v>12</v>
      </c>
      <c r="D723" s="1">
        <v>45407</v>
      </c>
      <c r="E723" t="s">
        <v>27</v>
      </c>
      <c r="F723" t="s">
        <v>14</v>
      </c>
      <c r="G723">
        <v>11306.19</v>
      </c>
      <c r="H723">
        <v>500</v>
      </c>
      <c r="I723">
        <v>10806.19</v>
      </c>
      <c r="J723">
        <v>95.577644000000006</v>
      </c>
    </row>
    <row r="724" spans="1:10" x14ac:dyDescent="0.3">
      <c r="A724" t="s">
        <v>949</v>
      </c>
      <c r="B724" t="s">
        <v>76</v>
      </c>
      <c r="C724" t="s">
        <v>17</v>
      </c>
      <c r="D724" s="1">
        <v>45509</v>
      </c>
      <c r="E724" t="s">
        <v>47</v>
      </c>
      <c r="F724" t="s">
        <v>32</v>
      </c>
      <c r="G724">
        <v>3525.29</v>
      </c>
      <c r="H724">
        <v>30000</v>
      </c>
      <c r="I724">
        <v>-26474.71</v>
      </c>
      <c r="J724">
        <v>-750.99381900000003</v>
      </c>
    </row>
    <row r="725" spans="1:10" x14ac:dyDescent="0.3">
      <c r="A725" t="s">
        <v>950</v>
      </c>
      <c r="B725" t="s">
        <v>217</v>
      </c>
      <c r="C725" t="s">
        <v>64</v>
      </c>
      <c r="D725" s="1">
        <v>45500</v>
      </c>
      <c r="E725" t="s">
        <v>31</v>
      </c>
      <c r="F725" t="s">
        <v>19</v>
      </c>
      <c r="G725">
        <v>36904.67</v>
      </c>
      <c r="H725">
        <v>12000</v>
      </c>
      <c r="I725">
        <v>24904.67</v>
      </c>
      <c r="J725">
        <v>67.483789999999999</v>
      </c>
    </row>
    <row r="726" spans="1:10" x14ac:dyDescent="0.3">
      <c r="A726" t="s">
        <v>951</v>
      </c>
      <c r="B726" t="s">
        <v>84</v>
      </c>
      <c r="C726" t="s">
        <v>64</v>
      </c>
      <c r="D726" s="1">
        <v>45614</v>
      </c>
      <c r="E726" t="s">
        <v>57</v>
      </c>
      <c r="F726" t="s">
        <v>19</v>
      </c>
      <c r="G726">
        <v>12236.68</v>
      </c>
      <c r="H726">
        <v>12000</v>
      </c>
      <c r="I726">
        <v>236.68</v>
      </c>
      <c r="J726">
        <v>1.934185</v>
      </c>
    </row>
    <row r="727" spans="1:10" x14ac:dyDescent="0.3">
      <c r="A727" t="s">
        <v>952</v>
      </c>
      <c r="B727" t="s">
        <v>278</v>
      </c>
      <c r="C727" t="s">
        <v>12</v>
      </c>
      <c r="D727" s="1">
        <v>45439</v>
      </c>
      <c r="E727" t="s">
        <v>37</v>
      </c>
      <c r="F727" t="s">
        <v>28</v>
      </c>
      <c r="G727">
        <v>15772.54</v>
      </c>
      <c r="H727">
        <v>2000</v>
      </c>
      <c r="I727">
        <v>13772.54</v>
      </c>
      <c r="J727">
        <v>87.319733999999997</v>
      </c>
    </row>
    <row r="728" spans="1:10" x14ac:dyDescent="0.3">
      <c r="A728" t="s">
        <v>953</v>
      </c>
      <c r="B728" t="s">
        <v>489</v>
      </c>
      <c r="C728" t="s">
        <v>40</v>
      </c>
      <c r="D728" s="1">
        <v>45573</v>
      </c>
      <c r="E728" t="s">
        <v>13</v>
      </c>
      <c r="F728" t="s">
        <v>19</v>
      </c>
      <c r="G728">
        <v>25487.7</v>
      </c>
      <c r="H728">
        <v>12000</v>
      </c>
      <c r="I728">
        <v>13487.7</v>
      </c>
      <c r="J728">
        <v>52.918467</v>
      </c>
    </row>
    <row r="729" spans="1:10" x14ac:dyDescent="0.3">
      <c r="A729" t="s">
        <v>954</v>
      </c>
      <c r="B729" t="s">
        <v>26</v>
      </c>
      <c r="C729" t="s">
        <v>12</v>
      </c>
      <c r="D729" s="1">
        <v>45495</v>
      </c>
      <c r="E729" t="s">
        <v>31</v>
      </c>
      <c r="F729" t="s">
        <v>32</v>
      </c>
      <c r="G729">
        <v>46135.29</v>
      </c>
      <c r="H729">
        <v>30000</v>
      </c>
      <c r="I729">
        <v>16135.29</v>
      </c>
      <c r="J729">
        <v>34.973855999999998</v>
      </c>
    </row>
    <row r="730" spans="1:10" x14ac:dyDescent="0.3">
      <c r="A730" t="s">
        <v>955</v>
      </c>
      <c r="B730" t="s">
        <v>150</v>
      </c>
      <c r="C730" t="s">
        <v>64</v>
      </c>
      <c r="D730" s="1">
        <v>45631</v>
      </c>
      <c r="E730" t="s">
        <v>95</v>
      </c>
      <c r="F730" t="s">
        <v>28</v>
      </c>
      <c r="G730">
        <v>40539.89</v>
      </c>
      <c r="H730">
        <v>2000</v>
      </c>
      <c r="I730">
        <v>38539.89</v>
      </c>
      <c r="J730">
        <v>95.066587999999996</v>
      </c>
    </row>
    <row r="731" spans="1:10" x14ac:dyDescent="0.3">
      <c r="A731" t="s">
        <v>956</v>
      </c>
      <c r="B731" t="s">
        <v>59</v>
      </c>
      <c r="C731" t="s">
        <v>40</v>
      </c>
      <c r="D731" s="1">
        <v>45522</v>
      </c>
      <c r="E731" t="s">
        <v>47</v>
      </c>
      <c r="F731" t="s">
        <v>28</v>
      </c>
      <c r="G731">
        <v>19969.3</v>
      </c>
      <c r="H731">
        <v>2000</v>
      </c>
      <c r="I731">
        <v>17969.3</v>
      </c>
      <c r="J731">
        <v>89.984626000000006</v>
      </c>
    </row>
    <row r="732" spans="1:10" x14ac:dyDescent="0.3">
      <c r="A732" t="s">
        <v>957</v>
      </c>
      <c r="B732" t="s">
        <v>285</v>
      </c>
      <c r="C732" t="s">
        <v>17</v>
      </c>
      <c r="D732" s="1">
        <v>45513</v>
      </c>
      <c r="E732" t="s">
        <v>47</v>
      </c>
      <c r="F732" t="s">
        <v>14</v>
      </c>
      <c r="G732">
        <v>38030.339999999997</v>
      </c>
      <c r="H732">
        <v>500</v>
      </c>
      <c r="I732">
        <v>37530.339999999997</v>
      </c>
      <c r="J732">
        <v>98.68526</v>
      </c>
    </row>
    <row r="733" spans="1:10" x14ac:dyDescent="0.3">
      <c r="A733" t="s">
        <v>958</v>
      </c>
      <c r="B733" t="s">
        <v>191</v>
      </c>
      <c r="C733" t="s">
        <v>64</v>
      </c>
      <c r="D733" s="1">
        <v>45649</v>
      </c>
      <c r="E733" t="s">
        <v>95</v>
      </c>
      <c r="F733" t="s">
        <v>19</v>
      </c>
      <c r="G733">
        <v>26712.07</v>
      </c>
      <c r="H733">
        <v>12000</v>
      </c>
      <c r="I733">
        <v>14712.07</v>
      </c>
      <c r="J733">
        <v>55.076487999999998</v>
      </c>
    </row>
    <row r="734" spans="1:10" x14ac:dyDescent="0.3">
      <c r="A734" t="s">
        <v>959</v>
      </c>
      <c r="B734" t="s">
        <v>115</v>
      </c>
      <c r="C734" t="s">
        <v>17</v>
      </c>
      <c r="D734" s="1">
        <v>45390</v>
      </c>
      <c r="E734" t="s">
        <v>27</v>
      </c>
      <c r="F734" t="s">
        <v>14</v>
      </c>
      <c r="G734">
        <v>43429.01</v>
      </c>
      <c r="H734">
        <v>500</v>
      </c>
      <c r="I734">
        <v>42929.01</v>
      </c>
      <c r="J734">
        <v>98.848696000000004</v>
      </c>
    </row>
    <row r="735" spans="1:10" x14ac:dyDescent="0.3">
      <c r="A735" t="s">
        <v>960</v>
      </c>
      <c r="B735" t="s">
        <v>363</v>
      </c>
      <c r="C735" t="s">
        <v>40</v>
      </c>
      <c r="D735" s="1">
        <v>45626</v>
      </c>
      <c r="E735" t="s">
        <v>57</v>
      </c>
      <c r="F735" t="s">
        <v>14</v>
      </c>
      <c r="G735">
        <v>1263.96</v>
      </c>
      <c r="H735">
        <v>500</v>
      </c>
      <c r="I735">
        <v>763.96</v>
      </c>
      <c r="J735">
        <v>60.441786</v>
      </c>
    </row>
    <row r="736" spans="1:10" x14ac:dyDescent="0.3">
      <c r="A736" t="s">
        <v>961</v>
      </c>
      <c r="B736" t="s">
        <v>163</v>
      </c>
      <c r="C736" t="s">
        <v>40</v>
      </c>
      <c r="D736" s="1">
        <v>45481</v>
      </c>
      <c r="E736" t="s">
        <v>31</v>
      </c>
      <c r="F736" t="s">
        <v>19</v>
      </c>
      <c r="G736">
        <v>45586.36</v>
      </c>
      <c r="H736">
        <v>12000</v>
      </c>
      <c r="I736">
        <v>33586.36</v>
      </c>
      <c r="J736">
        <v>73.676337000000004</v>
      </c>
    </row>
    <row r="737" spans="1:10" x14ac:dyDescent="0.3">
      <c r="A737" t="s">
        <v>962</v>
      </c>
      <c r="B737" t="s">
        <v>300</v>
      </c>
      <c r="C737" t="s">
        <v>40</v>
      </c>
      <c r="D737" s="1">
        <v>45381</v>
      </c>
      <c r="E737" t="s">
        <v>18</v>
      </c>
      <c r="F737" t="s">
        <v>14</v>
      </c>
      <c r="G737">
        <v>17240.45</v>
      </c>
      <c r="H737">
        <v>500</v>
      </c>
      <c r="I737">
        <v>16740.45</v>
      </c>
      <c r="J737">
        <v>97.099844000000004</v>
      </c>
    </row>
    <row r="738" spans="1:10" x14ac:dyDescent="0.3">
      <c r="A738" t="s">
        <v>963</v>
      </c>
      <c r="B738" t="s">
        <v>964</v>
      </c>
      <c r="C738" t="s">
        <v>17</v>
      </c>
      <c r="D738" s="1">
        <v>45326</v>
      </c>
      <c r="E738" t="s">
        <v>49</v>
      </c>
      <c r="F738" t="s">
        <v>32</v>
      </c>
      <c r="G738">
        <v>36674.660000000003</v>
      </c>
      <c r="H738">
        <v>30000</v>
      </c>
      <c r="I738">
        <v>6674.66</v>
      </c>
      <c r="J738">
        <v>18.199650999999999</v>
      </c>
    </row>
    <row r="739" spans="1:10" x14ac:dyDescent="0.3">
      <c r="A739" t="s">
        <v>965</v>
      </c>
      <c r="B739" t="s">
        <v>274</v>
      </c>
      <c r="C739" t="s">
        <v>40</v>
      </c>
      <c r="D739" s="1">
        <v>45508</v>
      </c>
      <c r="E739" t="s">
        <v>47</v>
      </c>
      <c r="F739" t="s">
        <v>19</v>
      </c>
      <c r="G739">
        <v>40194.82</v>
      </c>
      <c r="H739">
        <v>12000</v>
      </c>
      <c r="I739">
        <v>28194.82</v>
      </c>
      <c r="J739">
        <v>70.145407000000006</v>
      </c>
    </row>
    <row r="740" spans="1:10" x14ac:dyDescent="0.3">
      <c r="A740" t="s">
        <v>966</v>
      </c>
      <c r="B740" t="s">
        <v>225</v>
      </c>
      <c r="C740" t="s">
        <v>40</v>
      </c>
      <c r="D740" s="1">
        <v>45510</v>
      </c>
      <c r="E740" t="s">
        <v>47</v>
      </c>
      <c r="F740" t="s">
        <v>14</v>
      </c>
      <c r="G740">
        <v>9916.02</v>
      </c>
      <c r="H740">
        <v>500</v>
      </c>
      <c r="I740">
        <v>9416.02</v>
      </c>
      <c r="J740">
        <v>94.957654000000005</v>
      </c>
    </row>
    <row r="741" spans="1:10" x14ac:dyDescent="0.3">
      <c r="A741" t="s">
        <v>967</v>
      </c>
      <c r="B741" t="s">
        <v>66</v>
      </c>
      <c r="C741" t="s">
        <v>40</v>
      </c>
      <c r="D741" s="1">
        <v>45384</v>
      </c>
      <c r="E741" t="s">
        <v>27</v>
      </c>
      <c r="F741" t="s">
        <v>28</v>
      </c>
      <c r="G741">
        <v>43284.19</v>
      </c>
      <c r="H741">
        <v>2000</v>
      </c>
      <c r="I741">
        <v>41284.19</v>
      </c>
      <c r="J741">
        <v>95.379374999999996</v>
      </c>
    </row>
    <row r="742" spans="1:10" x14ac:dyDescent="0.3">
      <c r="A742" t="s">
        <v>968</v>
      </c>
      <c r="B742" t="s">
        <v>321</v>
      </c>
      <c r="C742" t="s">
        <v>64</v>
      </c>
      <c r="D742" s="1">
        <v>45510</v>
      </c>
      <c r="E742" t="s">
        <v>47</v>
      </c>
      <c r="F742" t="s">
        <v>32</v>
      </c>
      <c r="G742">
        <v>19084.560000000001</v>
      </c>
      <c r="H742">
        <v>30000</v>
      </c>
      <c r="I742">
        <v>-10915.44</v>
      </c>
      <c r="J742">
        <v>-57.195135999999998</v>
      </c>
    </row>
    <row r="743" spans="1:10" x14ac:dyDescent="0.3">
      <c r="A743" t="s">
        <v>969</v>
      </c>
      <c r="B743" t="s">
        <v>550</v>
      </c>
      <c r="C743" t="s">
        <v>64</v>
      </c>
      <c r="D743" s="1">
        <v>45333</v>
      </c>
      <c r="E743" t="s">
        <v>49</v>
      </c>
      <c r="F743" t="s">
        <v>28</v>
      </c>
      <c r="G743">
        <v>16171.25</v>
      </c>
      <c r="H743">
        <v>2000</v>
      </c>
      <c r="I743">
        <v>14171.25</v>
      </c>
      <c r="J743">
        <v>87.632372000000004</v>
      </c>
    </row>
    <row r="744" spans="1:10" x14ac:dyDescent="0.3">
      <c r="A744" t="s">
        <v>970</v>
      </c>
      <c r="B744" t="s">
        <v>389</v>
      </c>
      <c r="C744" t="s">
        <v>12</v>
      </c>
      <c r="D744" s="1">
        <v>45575</v>
      </c>
      <c r="E744" t="s">
        <v>13</v>
      </c>
      <c r="F744" t="s">
        <v>32</v>
      </c>
      <c r="G744">
        <v>49543.360000000001</v>
      </c>
      <c r="H744">
        <v>30000</v>
      </c>
      <c r="I744">
        <v>19543.36</v>
      </c>
      <c r="J744">
        <v>39.446981000000001</v>
      </c>
    </row>
    <row r="745" spans="1:10" x14ac:dyDescent="0.3">
      <c r="A745" t="s">
        <v>971</v>
      </c>
      <c r="B745" t="s">
        <v>261</v>
      </c>
      <c r="C745" t="s">
        <v>40</v>
      </c>
      <c r="D745" s="1">
        <v>45312</v>
      </c>
      <c r="E745" t="s">
        <v>44</v>
      </c>
      <c r="F745" t="s">
        <v>19</v>
      </c>
      <c r="G745">
        <v>31337.58</v>
      </c>
      <c r="H745">
        <v>12000</v>
      </c>
      <c r="I745">
        <v>19337.580000000002</v>
      </c>
      <c r="J745">
        <v>61.707318000000001</v>
      </c>
    </row>
    <row r="746" spans="1:10" x14ac:dyDescent="0.3">
      <c r="A746" t="s">
        <v>972</v>
      </c>
      <c r="B746" t="s">
        <v>247</v>
      </c>
      <c r="C746" t="s">
        <v>40</v>
      </c>
      <c r="D746" s="1">
        <v>45301</v>
      </c>
      <c r="E746" t="s">
        <v>44</v>
      </c>
      <c r="F746" t="s">
        <v>19</v>
      </c>
      <c r="G746">
        <v>18391.79</v>
      </c>
      <c r="H746">
        <v>12000</v>
      </c>
      <c r="I746">
        <v>6391.79</v>
      </c>
      <c r="J746">
        <v>34.753495999999998</v>
      </c>
    </row>
    <row r="747" spans="1:10" x14ac:dyDescent="0.3">
      <c r="A747" t="s">
        <v>973</v>
      </c>
      <c r="B747" t="s">
        <v>478</v>
      </c>
      <c r="C747" t="s">
        <v>12</v>
      </c>
      <c r="D747" s="1">
        <v>45616</v>
      </c>
      <c r="E747" t="s">
        <v>57</v>
      </c>
      <c r="F747" t="s">
        <v>28</v>
      </c>
      <c r="G747">
        <v>47366.97</v>
      </c>
      <c r="H747">
        <v>2000</v>
      </c>
      <c r="I747">
        <v>45366.97</v>
      </c>
      <c r="J747">
        <v>95.777647999999999</v>
      </c>
    </row>
    <row r="748" spans="1:10" x14ac:dyDescent="0.3">
      <c r="A748" t="s">
        <v>974</v>
      </c>
      <c r="B748" t="s">
        <v>191</v>
      </c>
      <c r="C748" t="s">
        <v>64</v>
      </c>
      <c r="D748" s="1">
        <v>45451</v>
      </c>
      <c r="E748" t="s">
        <v>41</v>
      </c>
      <c r="F748" t="s">
        <v>14</v>
      </c>
      <c r="G748">
        <v>31573.67</v>
      </c>
      <c r="H748">
        <v>500</v>
      </c>
      <c r="I748">
        <v>31073.67</v>
      </c>
      <c r="J748">
        <v>98.416402000000005</v>
      </c>
    </row>
    <row r="749" spans="1:10" x14ac:dyDescent="0.3">
      <c r="A749" t="s">
        <v>975</v>
      </c>
      <c r="B749" t="s">
        <v>231</v>
      </c>
      <c r="C749" t="s">
        <v>64</v>
      </c>
      <c r="D749" s="1">
        <v>45322</v>
      </c>
      <c r="E749" t="s">
        <v>44</v>
      </c>
      <c r="F749" t="s">
        <v>14</v>
      </c>
      <c r="G749">
        <v>45492.38</v>
      </c>
      <c r="H749">
        <v>500</v>
      </c>
      <c r="I749">
        <v>44992.38</v>
      </c>
      <c r="J749">
        <v>98.900914999999998</v>
      </c>
    </row>
    <row r="750" spans="1:10" x14ac:dyDescent="0.3">
      <c r="A750" t="s">
        <v>976</v>
      </c>
      <c r="B750" t="s">
        <v>263</v>
      </c>
      <c r="C750" t="s">
        <v>64</v>
      </c>
      <c r="D750" s="1">
        <v>45528</v>
      </c>
      <c r="E750" t="s">
        <v>47</v>
      </c>
      <c r="F750" t="s">
        <v>32</v>
      </c>
      <c r="G750">
        <v>13360.55</v>
      </c>
      <c r="H750">
        <v>30000</v>
      </c>
      <c r="I750">
        <v>-16639.45</v>
      </c>
      <c r="J750">
        <v>-124.54165399999999</v>
      </c>
    </row>
    <row r="751" spans="1:10" x14ac:dyDescent="0.3">
      <c r="A751" t="s">
        <v>977</v>
      </c>
      <c r="B751" t="s">
        <v>655</v>
      </c>
      <c r="C751" t="s">
        <v>64</v>
      </c>
      <c r="D751" s="1">
        <v>45499</v>
      </c>
      <c r="E751" t="s">
        <v>31</v>
      </c>
      <c r="F751" t="s">
        <v>28</v>
      </c>
      <c r="G751">
        <v>36658.47</v>
      </c>
      <c r="H751">
        <v>2000</v>
      </c>
      <c r="I751">
        <v>34658.47</v>
      </c>
      <c r="J751">
        <v>94.544235</v>
      </c>
    </row>
    <row r="752" spans="1:10" x14ac:dyDescent="0.3">
      <c r="A752" t="s">
        <v>978</v>
      </c>
      <c r="B752" t="s">
        <v>94</v>
      </c>
      <c r="C752" t="s">
        <v>17</v>
      </c>
      <c r="D752" s="1">
        <v>45449</v>
      </c>
      <c r="E752" t="s">
        <v>41</v>
      </c>
      <c r="F752" t="s">
        <v>19</v>
      </c>
      <c r="G752">
        <v>9138.31</v>
      </c>
      <c r="H752">
        <v>12000</v>
      </c>
      <c r="I752">
        <v>-2861.69</v>
      </c>
      <c r="J752">
        <v>-31.315308999999999</v>
      </c>
    </row>
    <row r="753" spans="1:10" x14ac:dyDescent="0.3">
      <c r="A753" t="s">
        <v>979</v>
      </c>
      <c r="B753" t="s">
        <v>510</v>
      </c>
      <c r="C753" t="s">
        <v>12</v>
      </c>
      <c r="D753" s="1">
        <v>45310</v>
      </c>
      <c r="E753" t="s">
        <v>44</v>
      </c>
      <c r="F753" t="s">
        <v>32</v>
      </c>
      <c r="G753">
        <v>5499.87</v>
      </c>
      <c r="H753">
        <v>30000</v>
      </c>
      <c r="I753">
        <v>-24500.13</v>
      </c>
      <c r="J753">
        <v>-445.46743800000002</v>
      </c>
    </row>
    <row r="754" spans="1:10" x14ac:dyDescent="0.3">
      <c r="A754" t="s">
        <v>980</v>
      </c>
      <c r="B754" t="s">
        <v>690</v>
      </c>
      <c r="C754" t="s">
        <v>64</v>
      </c>
      <c r="D754" s="1">
        <v>45362</v>
      </c>
      <c r="E754" t="s">
        <v>18</v>
      </c>
      <c r="F754" t="s">
        <v>28</v>
      </c>
      <c r="G754">
        <v>26206.9</v>
      </c>
      <c r="H754">
        <v>2000</v>
      </c>
      <c r="I754">
        <v>24206.9</v>
      </c>
      <c r="J754">
        <v>92.368421999999995</v>
      </c>
    </row>
    <row r="755" spans="1:10" x14ac:dyDescent="0.3">
      <c r="A755" t="s">
        <v>981</v>
      </c>
      <c r="B755" t="s">
        <v>163</v>
      </c>
      <c r="C755" t="s">
        <v>40</v>
      </c>
      <c r="D755" s="1">
        <v>45301</v>
      </c>
      <c r="E755" t="s">
        <v>44</v>
      </c>
      <c r="F755" t="s">
        <v>32</v>
      </c>
      <c r="G755">
        <v>3214.14</v>
      </c>
      <c r="H755">
        <v>30000</v>
      </c>
      <c r="I755">
        <v>-26785.86</v>
      </c>
      <c r="J755">
        <v>-833.37564599999996</v>
      </c>
    </row>
    <row r="756" spans="1:10" x14ac:dyDescent="0.3">
      <c r="A756" t="s">
        <v>982</v>
      </c>
      <c r="B756" t="s">
        <v>34</v>
      </c>
      <c r="C756" t="s">
        <v>12</v>
      </c>
      <c r="D756" s="1">
        <v>45443</v>
      </c>
      <c r="E756" t="s">
        <v>37</v>
      </c>
      <c r="F756" t="s">
        <v>28</v>
      </c>
      <c r="G756">
        <v>7086.59</v>
      </c>
      <c r="H756">
        <v>2000</v>
      </c>
      <c r="I756">
        <v>5086.59</v>
      </c>
      <c r="J756">
        <v>71.777681999999999</v>
      </c>
    </row>
    <row r="757" spans="1:10" x14ac:dyDescent="0.3">
      <c r="A757" t="s">
        <v>983</v>
      </c>
      <c r="B757" t="s">
        <v>354</v>
      </c>
      <c r="C757" t="s">
        <v>17</v>
      </c>
      <c r="D757" s="1">
        <v>45653</v>
      </c>
      <c r="E757" t="s">
        <v>95</v>
      </c>
      <c r="F757" t="s">
        <v>28</v>
      </c>
      <c r="G757">
        <v>6192.27</v>
      </c>
      <c r="H757">
        <v>2000</v>
      </c>
      <c r="I757">
        <v>4192.2700000000004</v>
      </c>
      <c r="J757">
        <v>67.701667</v>
      </c>
    </row>
    <row r="758" spans="1:10" x14ac:dyDescent="0.3">
      <c r="A758" t="s">
        <v>984</v>
      </c>
      <c r="B758" t="s">
        <v>419</v>
      </c>
      <c r="C758" t="s">
        <v>64</v>
      </c>
      <c r="D758" s="1">
        <v>45318</v>
      </c>
      <c r="E758" t="s">
        <v>44</v>
      </c>
      <c r="F758" t="s">
        <v>28</v>
      </c>
      <c r="G758">
        <v>46057.65</v>
      </c>
      <c r="H758">
        <v>2000</v>
      </c>
      <c r="I758">
        <v>44057.65</v>
      </c>
      <c r="J758">
        <v>95.657616000000004</v>
      </c>
    </row>
    <row r="759" spans="1:10" x14ac:dyDescent="0.3">
      <c r="A759" t="s">
        <v>985</v>
      </c>
      <c r="B759" t="s">
        <v>380</v>
      </c>
      <c r="C759" t="s">
        <v>64</v>
      </c>
      <c r="D759" s="1">
        <v>45395</v>
      </c>
      <c r="E759" t="s">
        <v>27</v>
      </c>
      <c r="F759" t="s">
        <v>19</v>
      </c>
      <c r="G759">
        <v>14817.92</v>
      </c>
      <c r="H759">
        <v>12000</v>
      </c>
      <c r="I759">
        <v>2817.92</v>
      </c>
      <c r="J759">
        <v>19.016974000000001</v>
      </c>
    </row>
    <row r="760" spans="1:10" x14ac:dyDescent="0.3">
      <c r="A760" t="s">
        <v>986</v>
      </c>
      <c r="B760" t="s">
        <v>406</v>
      </c>
      <c r="C760" t="s">
        <v>40</v>
      </c>
      <c r="D760" s="1">
        <v>45643</v>
      </c>
      <c r="E760" t="s">
        <v>95</v>
      </c>
      <c r="F760" t="s">
        <v>32</v>
      </c>
      <c r="G760">
        <v>48927.08</v>
      </c>
      <c r="H760">
        <v>30000</v>
      </c>
      <c r="I760">
        <v>18927.080000000002</v>
      </c>
      <c r="J760">
        <v>38.684261999999997</v>
      </c>
    </row>
    <row r="761" spans="1:10" x14ac:dyDescent="0.3">
      <c r="A761" t="s">
        <v>987</v>
      </c>
      <c r="B761" t="s">
        <v>225</v>
      </c>
      <c r="C761" t="s">
        <v>40</v>
      </c>
      <c r="D761" s="1">
        <v>45541</v>
      </c>
      <c r="E761" t="s">
        <v>24</v>
      </c>
      <c r="F761" t="s">
        <v>32</v>
      </c>
      <c r="G761">
        <v>1197.07</v>
      </c>
      <c r="H761">
        <v>30000</v>
      </c>
      <c r="I761">
        <v>-28802.93</v>
      </c>
      <c r="J761">
        <v>-2406.119107</v>
      </c>
    </row>
    <row r="762" spans="1:10" x14ac:dyDescent="0.3">
      <c r="A762" t="s">
        <v>988</v>
      </c>
      <c r="B762" t="s">
        <v>204</v>
      </c>
      <c r="C762" t="s">
        <v>40</v>
      </c>
      <c r="D762" s="1">
        <v>45409</v>
      </c>
      <c r="E762" t="s">
        <v>27</v>
      </c>
      <c r="F762" t="s">
        <v>32</v>
      </c>
      <c r="G762">
        <v>10896.37</v>
      </c>
      <c r="H762">
        <v>30000</v>
      </c>
      <c r="I762">
        <v>-19103.63</v>
      </c>
      <c r="J762">
        <v>-175.32104699999999</v>
      </c>
    </row>
    <row r="763" spans="1:10" x14ac:dyDescent="0.3">
      <c r="A763" t="s">
        <v>989</v>
      </c>
      <c r="B763" t="s">
        <v>276</v>
      </c>
      <c r="C763" t="s">
        <v>40</v>
      </c>
      <c r="D763" s="1">
        <v>45394</v>
      </c>
      <c r="E763" t="s">
        <v>27</v>
      </c>
      <c r="F763" t="s">
        <v>32</v>
      </c>
      <c r="G763">
        <v>15759.54</v>
      </c>
      <c r="H763">
        <v>30000</v>
      </c>
      <c r="I763">
        <v>-14240.46</v>
      </c>
      <c r="J763">
        <v>-90.360885999999994</v>
      </c>
    </row>
    <row r="764" spans="1:10" x14ac:dyDescent="0.3">
      <c r="A764" t="s">
        <v>990</v>
      </c>
      <c r="B764" t="s">
        <v>206</v>
      </c>
      <c r="C764" t="s">
        <v>40</v>
      </c>
      <c r="D764" s="1">
        <v>45602</v>
      </c>
      <c r="E764" t="s">
        <v>57</v>
      </c>
      <c r="F764" t="s">
        <v>19</v>
      </c>
      <c r="G764">
        <v>32001.03</v>
      </c>
      <c r="H764">
        <v>12000</v>
      </c>
      <c r="I764">
        <v>20001.03</v>
      </c>
      <c r="J764">
        <v>62.501207000000001</v>
      </c>
    </row>
    <row r="765" spans="1:10" x14ac:dyDescent="0.3">
      <c r="A765" t="s">
        <v>991</v>
      </c>
      <c r="B765" t="s">
        <v>150</v>
      </c>
      <c r="C765" t="s">
        <v>64</v>
      </c>
      <c r="D765" s="1">
        <v>45305</v>
      </c>
      <c r="E765" t="s">
        <v>44</v>
      </c>
      <c r="F765" t="s">
        <v>32</v>
      </c>
      <c r="G765">
        <v>6446.9</v>
      </c>
      <c r="H765">
        <v>30000</v>
      </c>
      <c r="I765">
        <v>-23553.1</v>
      </c>
      <c r="J765">
        <v>-365.33993099999998</v>
      </c>
    </row>
    <row r="766" spans="1:10" x14ac:dyDescent="0.3">
      <c r="A766" t="s">
        <v>992</v>
      </c>
      <c r="B766" t="s">
        <v>862</v>
      </c>
      <c r="C766" t="s">
        <v>12</v>
      </c>
      <c r="D766" s="1">
        <v>45331</v>
      </c>
      <c r="E766" t="s">
        <v>49</v>
      </c>
      <c r="F766" t="s">
        <v>28</v>
      </c>
      <c r="G766">
        <v>17426.650000000001</v>
      </c>
      <c r="H766">
        <v>2000</v>
      </c>
      <c r="I766">
        <v>15426.65</v>
      </c>
      <c r="J766">
        <v>88.523325</v>
      </c>
    </row>
    <row r="767" spans="1:10" x14ac:dyDescent="0.3">
      <c r="A767" t="s">
        <v>993</v>
      </c>
      <c r="B767" t="s">
        <v>351</v>
      </c>
      <c r="C767" t="s">
        <v>40</v>
      </c>
      <c r="D767" s="1">
        <v>45577</v>
      </c>
      <c r="E767" t="s">
        <v>13</v>
      </c>
      <c r="F767" t="s">
        <v>28</v>
      </c>
      <c r="G767">
        <v>22213.46</v>
      </c>
      <c r="H767">
        <v>2000</v>
      </c>
      <c r="I767">
        <v>20213.46</v>
      </c>
      <c r="J767">
        <v>90.996449999999996</v>
      </c>
    </row>
    <row r="768" spans="1:10" x14ac:dyDescent="0.3">
      <c r="A768" t="s">
        <v>994</v>
      </c>
      <c r="B768" t="s">
        <v>720</v>
      </c>
      <c r="C768" t="s">
        <v>40</v>
      </c>
      <c r="D768" s="1">
        <v>45480</v>
      </c>
      <c r="E768" t="s">
        <v>31</v>
      </c>
      <c r="F768" t="s">
        <v>14</v>
      </c>
      <c r="G768">
        <v>14680.07</v>
      </c>
      <c r="H768">
        <v>500</v>
      </c>
      <c r="I768">
        <v>14180.07</v>
      </c>
      <c r="J768">
        <v>96.594021999999995</v>
      </c>
    </row>
    <row r="769" spans="1:10" x14ac:dyDescent="0.3">
      <c r="A769" t="s">
        <v>995</v>
      </c>
      <c r="B769" t="s">
        <v>109</v>
      </c>
      <c r="C769" t="s">
        <v>40</v>
      </c>
      <c r="D769" s="1">
        <v>45358</v>
      </c>
      <c r="E769" t="s">
        <v>18</v>
      </c>
      <c r="F769" t="s">
        <v>28</v>
      </c>
      <c r="G769">
        <v>39727.75</v>
      </c>
      <c r="H769">
        <v>2000</v>
      </c>
      <c r="I769">
        <v>37727.75</v>
      </c>
      <c r="J769">
        <v>94.965736000000007</v>
      </c>
    </row>
    <row r="770" spans="1:10" x14ac:dyDescent="0.3">
      <c r="A770" t="s">
        <v>996</v>
      </c>
      <c r="B770" t="s">
        <v>76</v>
      </c>
      <c r="C770" t="s">
        <v>17</v>
      </c>
      <c r="D770" s="1">
        <v>45495</v>
      </c>
      <c r="E770" t="s">
        <v>31</v>
      </c>
      <c r="F770" t="s">
        <v>14</v>
      </c>
      <c r="G770">
        <v>15671.65</v>
      </c>
      <c r="H770">
        <v>500</v>
      </c>
      <c r="I770">
        <v>15171.65</v>
      </c>
      <c r="J770">
        <v>96.809524999999994</v>
      </c>
    </row>
    <row r="771" spans="1:10" x14ac:dyDescent="0.3">
      <c r="A771" t="s">
        <v>997</v>
      </c>
      <c r="B771" t="s">
        <v>208</v>
      </c>
      <c r="C771" t="s">
        <v>12</v>
      </c>
      <c r="D771" s="1">
        <v>45324</v>
      </c>
      <c r="E771" t="s">
        <v>49</v>
      </c>
      <c r="F771" t="s">
        <v>32</v>
      </c>
      <c r="G771">
        <v>46342.92</v>
      </c>
      <c r="H771">
        <v>30000</v>
      </c>
      <c r="I771">
        <v>16342.92</v>
      </c>
      <c r="J771">
        <v>35.265192999999996</v>
      </c>
    </row>
    <row r="772" spans="1:10" x14ac:dyDescent="0.3">
      <c r="A772" t="s">
        <v>998</v>
      </c>
      <c r="B772" t="s">
        <v>557</v>
      </c>
      <c r="C772" t="s">
        <v>17</v>
      </c>
      <c r="D772" s="1">
        <v>45474</v>
      </c>
      <c r="E772" t="s">
        <v>31</v>
      </c>
      <c r="F772" t="s">
        <v>28</v>
      </c>
      <c r="G772">
        <v>32104.54</v>
      </c>
      <c r="H772">
        <v>2000</v>
      </c>
      <c r="I772">
        <v>30104.54</v>
      </c>
      <c r="J772">
        <v>93.770351000000005</v>
      </c>
    </row>
    <row r="773" spans="1:10" x14ac:dyDescent="0.3">
      <c r="A773" t="s">
        <v>999</v>
      </c>
      <c r="B773" t="s">
        <v>278</v>
      </c>
      <c r="C773" t="s">
        <v>12</v>
      </c>
      <c r="D773" s="1">
        <v>45542</v>
      </c>
      <c r="E773" t="s">
        <v>24</v>
      </c>
      <c r="F773" t="s">
        <v>14</v>
      </c>
      <c r="G773">
        <v>27368.11</v>
      </c>
      <c r="H773">
        <v>500</v>
      </c>
      <c r="I773">
        <v>26868.11</v>
      </c>
      <c r="J773">
        <v>98.173056000000003</v>
      </c>
    </row>
    <row r="774" spans="1:10" x14ac:dyDescent="0.3">
      <c r="A774" t="s">
        <v>1000</v>
      </c>
      <c r="B774" t="s">
        <v>306</v>
      </c>
      <c r="C774" t="s">
        <v>12</v>
      </c>
      <c r="D774" s="1">
        <v>45414</v>
      </c>
      <c r="E774" t="s">
        <v>37</v>
      </c>
      <c r="F774" t="s">
        <v>28</v>
      </c>
      <c r="G774">
        <v>1054.53</v>
      </c>
      <c r="H774">
        <v>2000</v>
      </c>
      <c r="I774">
        <v>-945.47</v>
      </c>
      <c r="J774">
        <v>-89.657951999999995</v>
      </c>
    </row>
    <row r="775" spans="1:10" x14ac:dyDescent="0.3">
      <c r="A775" t="s">
        <v>1001</v>
      </c>
      <c r="B775" t="s">
        <v>720</v>
      </c>
      <c r="C775" t="s">
        <v>40</v>
      </c>
      <c r="D775" s="1">
        <v>45388</v>
      </c>
      <c r="E775" t="s">
        <v>27</v>
      </c>
      <c r="F775" t="s">
        <v>28</v>
      </c>
      <c r="G775">
        <v>39481.620000000003</v>
      </c>
      <c r="H775">
        <v>2000</v>
      </c>
      <c r="I775">
        <v>37481.620000000003</v>
      </c>
      <c r="J775">
        <v>94.934352000000004</v>
      </c>
    </row>
    <row r="776" spans="1:10" x14ac:dyDescent="0.3">
      <c r="A776" t="s">
        <v>1002</v>
      </c>
      <c r="B776" t="s">
        <v>237</v>
      </c>
      <c r="C776" t="s">
        <v>40</v>
      </c>
      <c r="D776" s="1">
        <v>45639</v>
      </c>
      <c r="E776" t="s">
        <v>95</v>
      </c>
      <c r="F776" t="s">
        <v>19</v>
      </c>
      <c r="G776">
        <v>13634.84</v>
      </c>
      <c r="H776">
        <v>12000</v>
      </c>
      <c r="I776">
        <v>1634.84</v>
      </c>
      <c r="J776">
        <v>11.990166</v>
      </c>
    </row>
    <row r="777" spans="1:10" x14ac:dyDescent="0.3">
      <c r="A777" t="s">
        <v>1003</v>
      </c>
      <c r="B777" t="s">
        <v>905</v>
      </c>
      <c r="C777" t="s">
        <v>64</v>
      </c>
      <c r="D777" s="1">
        <v>45300</v>
      </c>
      <c r="E777" t="s">
        <v>44</v>
      </c>
      <c r="F777" t="s">
        <v>14</v>
      </c>
      <c r="G777">
        <v>1863.4</v>
      </c>
      <c r="H777">
        <v>500</v>
      </c>
      <c r="I777">
        <v>1363.4</v>
      </c>
      <c r="J777">
        <v>73.167328999999995</v>
      </c>
    </row>
    <row r="778" spans="1:10" x14ac:dyDescent="0.3">
      <c r="A778" t="s">
        <v>1004</v>
      </c>
      <c r="B778" t="s">
        <v>86</v>
      </c>
      <c r="C778" t="s">
        <v>40</v>
      </c>
      <c r="D778" s="1">
        <v>45493</v>
      </c>
      <c r="E778" t="s">
        <v>31</v>
      </c>
      <c r="F778" t="s">
        <v>14</v>
      </c>
      <c r="G778">
        <v>19750.060000000001</v>
      </c>
      <c r="H778">
        <v>500</v>
      </c>
      <c r="I778">
        <v>19250.060000000001</v>
      </c>
      <c r="J778">
        <v>97.468361999999999</v>
      </c>
    </row>
    <row r="779" spans="1:10" x14ac:dyDescent="0.3">
      <c r="A779" t="s">
        <v>1005</v>
      </c>
      <c r="B779" t="s">
        <v>453</v>
      </c>
      <c r="C779" t="s">
        <v>64</v>
      </c>
      <c r="D779" s="1">
        <v>45363</v>
      </c>
      <c r="E779" t="s">
        <v>18</v>
      </c>
      <c r="F779" t="s">
        <v>14</v>
      </c>
      <c r="G779">
        <v>13030.51</v>
      </c>
      <c r="H779">
        <v>500</v>
      </c>
      <c r="I779">
        <v>12530.51</v>
      </c>
      <c r="J779">
        <v>96.162852000000001</v>
      </c>
    </row>
    <row r="780" spans="1:10" x14ac:dyDescent="0.3">
      <c r="A780" t="s">
        <v>1006</v>
      </c>
      <c r="B780" t="s">
        <v>360</v>
      </c>
      <c r="C780" t="s">
        <v>64</v>
      </c>
      <c r="D780" s="1">
        <v>45623</v>
      </c>
      <c r="E780" t="s">
        <v>57</v>
      </c>
      <c r="F780" t="s">
        <v>28</v>
      </c>
      <c r="G780">
        <v>5233.3</v>
      </c>
      <c r="H780">
        <v>2000</v>
      </c>
      <c r="I780">
        <v>3233.3</v>
      </c>
      <c r="J780">
        <v>61.783195999999997</v>
      </c>
    </row>
    <row r="781" spans="1:10" x14ac:dyDescent="0.3">
      <c r="A781" t="s">
        <v>1007</v>
      </c>
      <c r="B781" t="s">
        <v>92</v>
      </c>
      <c r="C781" t="s">
        <v>12</v>
      </c>
      <c r="D781" s="1">
        <v>45595</v>
      </c>
      <c r="E781" t="s">
        <v>13</v>
      </c>
      <c r="F781" t="s">
        <v>32</v>
      </c>
      <c r="G781">
        <v>37200.800000000003</v>
      </c>
      <c r="H781">
        <v>30000</v>
      </c>
      <c r="I781">
        <v>7200.8</v>
      </c>
      <c r="J781">
        <v>19.356573000000001</v>
      </c>
    </row>
    <row r="782" spans="1:10" x14ac:dyDescent="0.3">
      <c r="A782" t="s">
        <v>1008</v>
      </c>
      <c r="B782" t="s">
        <v>300</v>
      </c>
      <c r="C782" t="s">
        <v>40</v>
      </c>
      <c r="D782" s="1">
        <v>45485</v>
      </c>
      <c r="E782" t="s">
        <v>31</v>
      </c>
      <c r="F782" t="s">
        <v>19</v>
      </c>
      <c r="G782">
        <v>33983.879999999997</v>
      </c>
      <c r="H782">
        <v>12000</v>
      </c>
      <c r="I782">
        <v>21983.88</v>
      </c>
      <c r="J782">
        <v>64.689141000000006</v>
      </c>
    </row>
    <row r="783" spans="1:10" x14ac:dyDescent="0.3">
      <c r="A783" t="s">
        <v>1009</v>
      </c>
      <c r="B783" t="s">
        <v>311</v>
      </c>
      <c r="C783" t="s">
        <v>64</v>
      </c>
      <c r="D783" s="1">
        <v>45651</v>
      </c>
      <c r="E783" t="s">
        <v>95</v>
      </c>
      <c r="F783" t="s">
        <v>32</v>
      </c>
      <c r="G783">
        <v>20925.27</v>
      </c>
      <c r="H783">
        <v>30000</v>
      </c>
      <c r="I783">
        <v>-9074.73</v>
      </c>
      <c r="J783">
        <v>-43.367325999999998</v>
      </c>
    </row>
    <row r="784" spans="1:10" x14ac:dyDescent="0.3">
      <c r="A784" t="s">
        <v>1010</v>
      </c>
      <c r="B784" t="s">
        <v>406</v>
      </c>
      <c r="C784" t="s">
        <v>40</v>
      </c>
      <c r="D784" s="1">
        <v>45641</v>
      </c>
      <c r="E784" t="s">
        <v>95</v>
      </c>
      <c r="F784" t="s">
        <v>32</v>
      </c>
      <c r="G784">
        <v>41187.040000000001</v>
      </c>
      <c r="H784">
        <v>30000</v>
      </c>
      <c r="I784">
        <v>11187.04</v>
      </c>
      <c r="J784">
        <v>27.161553999999999</v>
      </c>
    </row>
    <row r="785" spans="1:10" x14ac:dyDescent="0.3">
      <c r="A785" t="s">
        <v>1011</v>
      </c>
      <c r="B785" t="s">
        <v>59</v>
      </c>
      <c r="C785" t="s">
        <v>40</v>
      </c>
      <c r="D785" s="1">
        <v>45366</v>
      </c>
      <c r="E785" t="s">
        <v>18</v>
      </c>
      <c r="F785" t="s">
        <v>28</v>
      </c>
      <c r="G785">
        <v>549.67999999999995</v>
      </c>
      <c r="H785">
        <v>2000</v>
      </c>
      <c r="I785">
        <v>-1450.32</v>
      </c>
      <c r="J785">
        <v>-263.84805699999998</v>
      </c>
    </row>
    <row r="786" spans="1:10" x14ac:dyDescent="0.3">
      <c r="A786" t="s">
        <v>1012</v>
      </c>
      <c r="B786" t="s">
        <v>326</v>
      </c>
      <c r="C786" t="s">
        <v>40</v>
      </c>
      <c r="D786" s="1">
        <v>45496</v>
      </c>
      <c r="E786" t="s">
        <v>31</v>
      </c>
      <c r="F786" t="s">
        <v>19</v>
      </c>
      <c r="G786">
        <v>36834.949999999997</v>
      </c>
      <c r="H786">
        <v>12000</v>
      </c>
      <c r="I786">
        <v>24834.95</v>
      </c>
      <c r="J786">
        <v>67.422244000000006</v>
      </c>
    </row>
    <row r="787" spans="1:10" x14ac:dyDescent="0.3">
      <c r="A787" t="s">
        <v>1013</v>
      </c>
      <c r="B787" t="s">
        <v>259</v>
      </c>
      <c r="C787" t="s">
        <v>17</v>
      </c>
      <c r="D787" s="1">
        <v>45459</v>
      </c>
      <c r="E787" t="s">
        <v>41</v>
      </c>
      <c r="F787" t="s">
        <v>32</v>
      </c>
      <c r="G787">
        <v>32472.85</v>
      </c>
      <c r="H787">
        <v>30000</v>
      </c>
      <c r="I787">
        <v>2472.85</v>
      </c>
      <c r="J787">
        <v>7.6151309999999999</v>
      </c>
    </row>
    <row r="788" spans="1:10" x14ac:dyDescent="0.3">
      <c r="A788" t="s">
        <v>1014</v>
      </c>
      <c r="B788" t="s">
        <v>143</v>
      </c>
      <c r="C788" t="s">
        <v>64</v>
      </c>
      <c r="D788" s="1">
        <v>45470</v>
      </c>
      <c r="E788" t="s">
        <v>41</v>
      </c>
      <c r="F788" t="s">
        <v>19</v>
      </c>
      <c r="G788">
        <v>31065.599999999999</v>
      </c>
      <c r="H788">
        <v>12000</v>
      </c>
      <c r="I788">
        <v>19065.599999999999</v>
      </c>
      <c r="J788">
        <v>61.372064000000002</v>
      </c>
    </row>
    <row r="789" spans="1:10" x14ac:dyDescent="0.3">
      <c r="A789" t="s">
        <v>1015</v>
      </c>
      <c r="B789" t="s">
        <v>266</v>
      </c>
      <c r="C789" t="s">
        <v>12</v>
      </c>
      <c r="D789" s="1">
        <v>45533</v>
      </c>
      <c r="E789" t="s">
        <v>47</v>
      </c>
      <c r="F789" t="s">
        <v>28</v>
      </c>
      <c r="G789">
        <v>15360.28</v>
      </c>
      <c r="H789">
        <v>2000</v>
      </c>
      <c r="I789">
        <v>13360.28</v>
      </c>
      <c r="J789">
        <v>86.979404000000002</v>
      </c>
    </row>
    <row r="790" spans="1:10" x14ac:dyDescent="0.3">
      <c r="A790" t="s">
        <v>1016</v>
      </c>
      <c r="B790" t="s">
        <v>84</v>
      </c>
      <c r="C790" t="s">
        <v>64</v>
      </c>
      <c r="D790" s="1">
        <v>45608</v>
      </c>
      <c r="E790" t="s">
        <v>57</v>
      </c>
      <c r="F790" t="s">
        <v>19</v>
      </c>
      <c r="G790">
        <v>41980.78</v>
      </c>
      <c r="H790">
        <v>12000</v>
      </c>
      <c r="I790">
        <v>29980.78</v>
      </c>
      <c r="J790">
        <v>71.415491000000003</v>
      </c>
    </row>
    <row r="791" spans="1:10" x14ac:dyDescent="0.3">
      <c r="A791" t="s">
        <v>1017</v>
      </c>
      <c r="B791" t="s">
        <v>148</v>
      </c>
      <c r="C791" t="s">
        <v>17</v>
      </c>
      <c r="D791" s="1">
        <v>45639</v>
      </c>
      <c r="E791" t="s">
        <v>95</v>
      </c>
      <c r="F791" t="s">
        <v>14</v>
      </c>
      <c r="G791">
        <v>23598.91</v>
      </c>
      <c r="H791">
        <v>500</v>
      </c>
      <c r="I791">
        <v>23098.91</v>
      </c>
      <c r="J791">
        <v>97.881258000000003</v>
      </c>
    </row>
    <row r="792" spans="1:10" x14ac:dyDescent="0.3">
      <c r="A792" t="s">
        <v>1018</v>
      </c>
      <c r="B792" t="s">
        <v>247</v>
      </c>
      <c r="C792" t="s">
        <v>40</v>
      </c>
      <c r="D792" s="1">
        <v>45624</v>
      </c>
      <c r="E792" t="s">
        <v>57</v>
      </c>
      <c r="F792" t="s">
        <v>14</v>
      </c>
      <c r="G792">
        <v>41563</v>
      </c>
      <c r="H792">
        <v>500</v>
      </c>
      <c r="I792">
        <v>41063</v>
      </c>
      <c r="J792">
        <v>98.797006999999994</v>
      </c>
    </row>
    <row r="793" spans="1:10" x14ac:dyDescent="0.3">
      <c r="A793" t="s">
        <v>1019</v>
      </c>
      <c r="B793" t="s">
        <v>126</v>
      </c>
      <c r="C793" t="s">
        <v>64</v>
      </c>
      <c r="D793" s="1">
        <v>45627</v>
      </c>
      <c r="E793" t="s">
        <v>95</v>
      </c>
      <c r="F793" t="s">
        <v>19</v>
      </c>
      <c r="G793">
        <v>5392.1</v>
      </c>
      <c r="H793">
        <v>12000</v>
      </c>
      <c r="I793">
        <v>-6607.9</v>
      </c>
      <c r="J793">
        <v>-122.54780100000001</v>
      </c>
    </row>
    <row r="794" spans="1:10" x14ac:dyDescent="0.3">
      <c r="A794" t="s">
        <v>1020</v>
      </c>
      <c r="B794" t="s">
        <v>56</v>
      </c>
      <c r="C794" t="s">
        <v>40</v>
      </c>
      <c r="D794" s="1">
        <v>45582</v>
      </c>
      <c r="E794" t="s">
        <v>13</v>
      </c>
      <c r="F794" t="s">
        <v>32</v>
      </c>
      <c r="G794">
        <v>38046.620000000003</v>
      </c>
      <c r="H794">
        <v>30000</v>
      </c>
      <c r="I794">
        <v>8046.62</v>
      </c>
      <c r="J794">
        <v>21.149369</v>
      </c>
    </row>
    <row r="795" spans="1:10" x14ac:dyDescent="0.3">
      <c r="A795" t="s">
        <v>1021</v>
      </c>
      <c r="B795" t="s">
        <v>545</v>
      </c>
      <c r="C795" t="s">
        <v>40</v>
      </c>
      <c r="D795" s="1">
        <v>45397</v>
      </c>
      <c r="E795" t="s">
        <v>27</v>
      </c>
      <c r="F795" t="s">
        <v>32</v>
      </c>
      <c r="G795">
        <v>42981.62</v>
      </c>
      <c r="H795">
        <v>30000</v>
      </c>
      <c r="I795">
        <v>12981.62</v>
      </c>
      <c r="J795">
        <v>30.202724</v>
      </c>
    </row>
    <row r="796" spans="1:10" x14ac:dyDescent="0.3">
      <c r="A796" t="s">
        <v>1022</v>
      </c>
      <c r="B796" t="s">
        <v>74</v>
      </c>
      <c r="C796" t="s">
        <v>40</v>
      </c>
      <c r="D796" s="1">
        <v>45389</v>
      </c>
      <c r="E796" t="s">
        <v>27</v>
      </c>
      <c r="F796" t="s">
        <v>28</v>
      </c>
      <c r="G796">
        <v>37069.339999999997</v>
      </c>
      <c r="H796">
        <v>2000</v>
      </c>
      <c r="I796">
        <v>35069.339999999997</v>
      </c>
      <c r="J796">
        <v>94.604705999999993</v>
      </c>
    </row>
    <row r="797" spans="1:10" x14ac:dyDescent="0.3">
      <c r="A797" t="s">
        <v>1023</v>
      </c>
      <c r="B797" t="s">
        <v>202</v>
      </c>
      <c r="C797" t="s">
        <v>12</v>
      </c>
      <c r="D797" s="1">
        <v>45583</v>
      </c>
      <c r="E797" t="s">
        <v>13</v>
      </c>
      <c r="F797" t="s">
        <v>28</v>
      </c>
      <c r="G797">
        <v>17242.71</v>
      </c>
      <c r="H797">
        <v>2000</v>
      </c>
      <c r="I797">
        <v>15242.71</v>
      </c>
      <c r="J797">
        <v>88.400895000000006</v>
      </c>
    </row>
    <row r="798" spans="1:10" x14ac:dyDescent="0.3">
      <c r="A798" t="s">
        <v>1024</v>
      </c>
      <c r="B798" t="s">
        <v>186</v>
      </c>
      <c r="C798" t="s">
        <v>64</v>
      </c>
      <c r="D798" s="1">
        <v>45590</v>
      </c>
      <c r="E798" t="s">
        <v>13</v>
      </c>
      <c r="F798" t="s">
        <v>28</v>
      </c>
      <c r="G798">
        <v>9649.2000000000007</v>
      </c>
      <c r="H798">
        <v>2000</v>
      </c>
      <c r="I798">
        <v>7649.2</v>
      </c>
      <c r="J798">
        <v>79.272892999999996</v>
      </c>
    </row>
    <row r="799" spans="1:10" x14ac:dyDescent="0.3">
      <c r="A799" t="s">
        <v>1025</v>
      </c>
      <c r="B799" t="s">
        <v>204</v>
      </c>
      <c r="C799" t="s">
        <v>40</v>
      </c>
      <c r="D799" s="1">
        <v>45513</v>
      </c>
      <c r="E799" t="s">
        <v>47</v>
      </c>
      <c r="F799" t="s">
        <v>28</v>
      </c>
      <c r="G799">
        <v>27093.32</v>
      </c>
      <c r="H799">
        <v>2000</v>
      </c>
      <c r="I799">
        <v>25093.32</v>
      </c>
      <c r="J799">
        <v>92.618106999999995</v>
      </c>
    </row>
    <row r="800" spans="1:10" x14ac:dyDescent="0.3">
      <c r="A800" t="s">
        <v>1026</v>
      </c>
      <c r="B800" t="s">
        <v>92</v>
      </c>
      <c r="C800" t="s">
        <v>12</v>
      </c>
      <c r="D800" s="1">
        <v>45385</v>
      </c>
      <c r="E800" t="s">
        <v>27</v>
      </c>
      <c r="F800" t="s">
        <v>19</v>
      </c>
      <c r="G800">
        <v>2397.7800000000002</v>
      </c>
      <c r="H800">
        <v>12000</v>
      </c>
      <c r="I800">
        <v>-9602.2199999999993</v>
      </c>
      <c r="J800">
        <v>-400.46292799999998</v>
      </c>
    </row>
    <row r="801" spans="1:10" x14ac:dyDescent="0.3">
      <c r="A801" t="s">
        <v>1027</v>
      </c>
      <c r="B801" t="s">
        <v>221</v>
      </c>
      <c r="C801" t="s">
        <v>64</v>
      </c>
      <c r="D801" s="1">
        <v>45574</v>
      </c>
      <c r="E801" t="s">
        <v>13</v>
      </c>
      <c r="F801" t="s">
        <v>28</v>
      </c>
      <c r="G801">
        <v>37551.050000000003</v>
      </c>
      <c r="H801">
        <v>2000</v>
      </c>
      <c r="I801">
        <v>35551.050000000003</v>
      </c>
      <c r="J801">
        <v>94.673917000000003</v>
      </c>
    </row>
    <row r="802" spans="1:10" x14ac:dyDescent="0.3">
      <c r="A802" t="s">
        <v>1028</v>
      </c>
      <c r="B802" t="s">
        <v>249</v>
      </c>
      <c r="C802" t="s">
        <v>64</v>
      </c>
      <c r="D802" s="1">
        <v>45649</v>
      </c>
      <c r="E802" t="s">
        <v>95</v>
      </c>
      <c r="F802" t="s">
        <v>28</v>
      </c>
      <c r="G802">
        <v>39645.17</v>
      </c>
      <c r="H802">
        <v>2000</v>
      </c>
      <c r="I802">
        <v>37645.17</v>
      </c>
      <c r="J802">
        <v>94.955248999999995</v>
      </c>
    </row>
    <row r="803" spans="1:10" x14ac:dyDescent="0.3">
      <c r="A803" t="s">
        <v>1029</v>
      </c>
      <c r="B803" t="s">
        <v>393</v>
      </c>
      <c r="C803" t="s">
        <v>64</v>
      </c>
      <c r="D803" s="1">
        <v>45469</v>
      </c>
      <c r="E803" t="s">
        <v>41</v>
      </c>
      <c r="F803" t="s">
        <v>32</v>
      </c>
      <c r="G803">
        <v>36222.589999999997</v>
      </c>
      <c r="H803">
        <v>30000</v>
      </c>
      <c r="I803">
        <v>6222.59</v>
      </c>
      <c r="J803">
        <v>17.178754999999999</v>
      </c>
    </row>
    <row r="804" spans="1:10" x14ac:dyDescent="0.3">
      <c r="A804" t="s">
        <v>1030</v>
      </c>
      <c r="B804" t="s">
        <v>186</v>
      </c>
      <c r="C804" t="s">
        <v>64</v>
      </c>
      <c r="D804" s="1">
        <v>45414</v>
      </c>
      <c r="E804" t="s">
        <v>37</v>
      </c>
      <c r="F804" t="s">
        <v>32</v>
      </c>
      <c r="G804">
        <v>29046</v>
      </c>
      <c r="H804">
        <v>30000</v>
      </c>
      <c r="I804">
        <v>-954</v>
      </c>
      <c r="J804">
        <v>-3.2844449999999998</v>
      </c>
    </row>
    <row r="805" spans="1:10" x14ac:dyDescent="0.3">
      <c r="A805" t="s">
        <v>1031</v>
      </c>
      <c r="B805" t="s">
        <v>59</v>
      </c>
      <c r="C805" t="s">
        <v>40</v>
      </c>
      <c r="D805" s="1">
        <v>45524</v>
      </c>
      <c r="E805" t="s">
        <v>47</v>
      </c>
      <c r="F805" t="s">
        <v>28</v>
      </c>
      <c r="G805">
        <v>25268.2</v>
      </c>
      <c r="H805">
        <v>2000</v>
      </c>
      <c r="I805">
        <v>23268.2</v>
      </c>
      <c r="J805">
        <v>92.084913</v>
      </c>
    </row>
    <row r="806" spans="1:10" x14ac:dyDescent="0.3">
      <c r="A806" t="s">
        <v>1032</v>
      </c>
      <c r="B806" t="s">
        <v>270</v>
      </c>
      <c r="C806" t="s">
        <v>17</v>
      </c>
      <c r="D806" s="1">
        <v>45346</v>
      </c>
      <c r="E806" t="s">
        <v>49</v>
      </c>
      <c r="F806" t="s">
        <v>28</v>
      </c>
      <c r="G806">
        <v>46912.49</v>
      </c>
      <c r="H806">
        <v>2000</v>
      </c>
      <c r="I806">
        <v>44912.49</v>
      </c>
      <c r="J806">
        <v>95.736743000000004</v>
      </c>
    </row>
    <row r="807" spans="1:10" x14ac:dyDescent="0.3">
      <c r="A807" t="s">
        <v>1033</v>
      </c>
      <c r="B807" t="s">
        <v>99</v>
      </c>
      <c r="C807" t="s">
        <v>17</v>
      </c>
      <c r="D807" s="1">
        <v>45509</v>
      </c>
      <c r="E807" t="s">
        <v>47</v>
      </c>
      <c r="F807" t="s">
        <v>32</v>
      </c>
      <c r="G807">
        <v>40258.269999999997</v>
      </c>
      <c r="H807">
        <v>30000</v>
      </c>
      <c r="I807">
        <v>10258.27</v>
      </c>
      <c r="J807">
        <v>25.48115</v>
      </c>
    </row>
    <row r="808" spans="1:10" x14ac:dyDescent="0.3">
      <c r="A808" t="s">
        <v>1034</v>
      </c>
      <c r="B808" t="s">
        <v>167</v>
      </c>
      <c r="C808" t="s">
        <v>40</v>
      </c>
      <c r="D808" s="1">
        <v>45598</v>
      </c>
      <c r="E808" t="s">
        <v>57</v>
      </c>
      <c r="F808" t="s">
        <v>14</v>
      </c>
      <c r="G808">
        <v>15709.24</v>
      </c>
      <c r="H808">
        <v>500</v>
      </c>
      <c r="I808">
        <v>15209.24</v>
      </c>
      <c r="J808">
        <v>96.817160000000001</v>
      </c>
    </row>
    <row r="809" spans="1:10" x14ac:dyDescent="0.3">
      <c r="A809" t="s">
        <v>1035</v>
      </c>
      <c r="B809" t="s">
        <v>174</v>
      </c>
      <c r="C809" t="s">
        <v>12</v>
      </c>
      <c r="D809" s="1">
        <v>45390</v>
      </c>
      <c r="E809" t="s">
        <v>27</v>
      </c>
      <c r="F809" t="s">
        <v>28</v>
      </c>
      <c r="G809">
        <v>22866.63</v>
      </c>
      <c r="H809">
        <v>2000</v>
      </c>
      <c r="I809">
        <v>20866.63</v>
      </c>
      <c r="J809">
        <v>91.253630000000001</v>
      </c>
    </row>
    <row r="810" spans="1:10" x14ac:dyDescent="0.3">
      <c r="A810" t="s">
        <v>1036</v>
      </c>
      <c r="B810" t="s">
        <v>88</v>
      </c>
      <c r="C810" t="s">
        <v>17</v>
      </c>
      <c r="D810" s="1">
        <v>45492</v>
      </c>
      <c r="E810" t="s">
        <v>31</v>
      </c>
      <c r="F810" t="s">
        <v>28</v>
      </c>
      <c r="G810">
        <v>45430.17</v>
      </c>
      <c r="H810">
        <v>2000</v>
      </c>
      <c r="I810">
        <v>43430.17</v>
      </c>
      <c r="J810">
        <v>95.597639000000001</v>
      </c>
    </row>
    <row r="811" spans="1:10" x14ac:dyDescent="0.3">
      <c r="A811" t="s">
        <v>1037</v>
      </c>
      <c r="B811" t="s">
        <v>249</v>
      </c>
      <c r="C811" t="s">
        <v>64</v>
      </c>
      <c r="D811" s="1">
        <v>45549</v>
      </c>
      <c r="E811" t="s">
        <v>24</v>
      </c>
      <c r="F811" t="s">
        <v>32</v>
      </c>
      <c r="G811">
        <v>37412.57</v>
      </c>
      <c r="H811">
        <v>30000</v>
      </c>
      <c r="I811">
        <v>7412.57</v>
      </c>
      <c r="J811">
        <v>19.813047000000001</v>
      </c>
    </row>
    <row r="812" spans="1:10" x14ac:dyDescent="0.3">
      <c r="A812" t="s">
        <v>1038</v>
      </c>
      <c r="B812" t="s">
        <v>550</v>
      </c>
      <c r="C812" t="s">
        <v>64</v>
      </c>
      <c r="D812" s="1">
        <v>45602</v>
      </c>
      <c r="E812" t="s">
        <v>57</v>
      </c>
      <c r="F812" t="s">
        <v>32</v>
      </c>
      <c r="G812">
        <v>28513.599999999999</v>
      </c>
      <c r="H812">
        <v>30000</v>
      </c>
      <c r="I812">
        <v>-1486.4</v>
      </c>
      <c r="J812">
        <v>-5.2129510000000003</v>
      </c>
    </row>
    <row r="813" spans="1:10" x14ac:dyDescent="0.3">
      <c r="A813" t="s">
        <v>1039</v>
      </c>
      <c r="B813" t="s">
        <v>321</v>
      </c>
      <c r="C813" t="s">
        <v>64</v>
      </c>
      <c r="D813" s="1">
        <v>45488</v>
      </c>
      <c r="E813" t="s">
        <v>31</v>
      </c>
      <c r="F813" t="s">
        <v>28</v>
      </c>
      <c r="G813">
        <v>812.05</v>
      </c>
      <c r="H813">
        <v>2000</v>
      </c>
      <c r="I813">
        <v>-1187.95</v>
      </c>
      <c r="J813">
        <v>-146.29025300000001</v>
      </c>
    </row>
    <row r="814" spans="1:10" x14ac:dyDescent="0.3">
      <c r="A814" t="s">
        <v>1040</v>
      </c>
      <c r="B814" t="s">
        <v>619</v>
      </c>
      <c r="C814" t="s">
        <v>40</v>
      </c>
      <c r="D814" s="1">
        <v>45595</v>
      </c>
      <c r="E814" t="s">
        <v>13</v>
      </c>
      <c r="F814" t="s">
        <v>19</v>
      </c>
      <c r="G814">
        <v>3465.09</v>
      </c>
      <c r="H814">
        <v>12000</v>
      </c>
      <c r="I814">
        <v>-8534.91</v>
      </c>
      <c r="J814">
        <v>-246.311351</v>
      </c>
    </row>
    <row r="815" spans="1:10" x14ac:dyDescent="0.3">
      <c r="A815" t="s">
        <v>1041</v>
      </c>
      <c r="B815" t="s">
        <v>261</v>
      </c>
      <c r="C815" t="s">
        <v>40</v>
      </c>
      <c r="D815" s="1">
        <v>45334</v>
      </c>
      <c r="E815" t="s">
        <v>49</v>
      </c>
      <c r="F815" t="s">
        <v>28</v>
      </c>
      <c r="G815">
        <v>48176.13</v>
      </c>
      <c r="H815">
        <v>2000</v>
      </c>
      <c r="I815">
        <v>46176.13</v>
      </c>
      <c r="J815">
        <v>95.848566000000005</v>
      </c>
    </row>
    <row r="816" spans="1:10" x14ac:dyDescent="0.3">
      <c r="A816" t="s">
        <v>1042</v>
      </c>
      <c r="B816" t="s">
        <v>107</v>
      </c>
      <c r="C816" t="s">
        <v>64</v>
      </c>
      <c r="D816" s="1">
        <v>45639</v>
      </c>
      <c r="E816" t="s">
        <v>95</v>
      </c>
      <c r="F816" t="s">
        <v>28</v>
      </c>
      <c r="G816">
        <v>2281.58</v>
      </c>
      <c r="H816">
        <v>2000</v>
      </c>
      <c r="I816">
        <v>281.58</v>
      </c>
      <c r="J816">
        <v>12.341448</v>
      </c>
    </row>
    <row r="817" spans="1:10" x14ac:dyDescent="0.3">
      <c r="A817" t="s">
        <v>1043</v>
      </c>
      <c r="B817" t="s">
        <v>105</v>
      </c>
      <c r="C817" t="s">
        <v>64</v>
      </c>
      <c r="D817" s="1">
        <v>45365</v>
      </c>
      <c r="E817" t="s">
        <v>18</v>
      </c>
      <c r="F817" t="s">
        <v>28</v>
      </c>
      <c r="G817">
        <v>43032.1</v>
      </c>
      <c r="H817">
        <v>2000</v>
      </c>
      <c r="I817">
        <v>41032.1</v>
      </c>
      <c r="J817">
        <v>95.352306999999996</v>
      </c>
    </row>
    <row r="818" spans="1:10" x14ac:dyDescent="0.3">
      <c r="A818" t="s">
        <v>1044</v>
      </c>
      <c r="B818" t="s">
        <v>134</v>
      </c>
      <c r="C818" t="s">
        <v>40</v>
      </c>
      <c r="D818" s="1">
        <v>45362</v>
      </c>
      <c r="E818" t="s">
        <v>18</v>
      </c>
      <c r="F818" t="s">
        <v>14</v>
      </c>
      <c r="G818">
        <v>2423.4899999999998</v>
      </c>
      <c r="H818">
        <v>500</v>
      </c>
      <c r="I818">
        <v>1923.49</v>
      </c>
      <c r="J818">
        <v>79.368596999999994</v>
      </c>
    </row>
    <row r="819" spans="1:10" x14ac:dyDescent="0.3">
      <c r="A819" t="s">
        <v>1045</v>
      </c>
      <c r="B819" t="s">
        <v>11</v>
      </c>
      <c r="C819" t="s">
        <v>12</v>
      </c>
      <c r="D819" s="1">
        <v>45557</v>
      </c>
      <c r="E819" t="s">
        <v>24</v>
      </c>
      <c r="F819" t="s">
        <v>28</v>
      </c>
      <c r="G819">
        <v>2344.37</v>
      </c>
      <c r="H819">
        <v>2000</v>
      </c>
      <c r="I819">
        <v>344.37</v>
      </c>
      <c r="J819">
        <v>14.689234000000001</v>
      </c>
    </row>
    <row r="820" spans="1:10" x14ac:dyDescent="0.3">
      <c r="A820" t="s">
        <v>1046</v>
      </c>
      <c r="B820" t="s">
        <v>572</v>
      </c>
      <c r="C820" t="s">
        <v>40</v>
      </c>
      <c r="D820" s="1">
        <v>45643</v>
      </c>
      <c r="E820" t="s">
        <v>95</v>
      </c>
      <c r="F820" t="s">
        <v>19</v>
      </c>
      <c r="G820">
        <v>3534.94</v>
      </c>
      <c r="H820">
        <v>12000</v>
      </c>
      <c r="I820">
        <v>-8465.06</v>
      </c>
      <c r="J820">
        <v>-239.46827999999999</v>
      </c>
    </row>
    <row r="821" spans="1:10" x14ac:dyDescent="0.3">
      <c r="A821" t="s">
        <v>1047</v>
      </c>
      <c r="B821" t="s">
        <v>539</v>
      </c>
      <c r="C821" t="s">
        <v>64</v>
      </c>
      <c r="D821" s="1">
        <v>45652</v>
      </c>
      <c r="E821" t="s">
        <v>95</v>
      </c>
      <c r="F821" t="s">
        <v>28</v>
      </c>
      <c r="G821">
        <v>28860.12</v>
      </c>
      <c r="H821">
        <v>2000</v>
      </c>
      <c r="I821">
        <v>26860.12</v>
      </c>
      <c r="J821">
        <v>93.070021999999994</v>
      </c>
    </row>
    <row r="822" spans="1:10" x14ac:dyDescent="0.3">
      <c r="A822" t="s">
        <v>1048</v>
      </c>
      <c r="B822" t="s">
        <v>165</v>
      </c>
      <c r="C822" t="s">
        <v>17</v>
      </c>
      <c r="D822" s="1">
        <v>45479</v>
      </c>
      <c r="E822" t="s">
        <v>31</v>
      </c>
      <c r="F822" t="s">
        <v>14</v>
      </c>
      <c r="G822">
        <v>44194.34</v>
      </c>
      <c r="H822">
        <v>500</v>
      </c>
      <c r="I822">
        <v>43694.34</v>
      </c>
      <c r="J822">
        <v>98.868633000000003</v>
      </c>
    </row>
    <row r="823" spans="1:10" x14ac:dyDescent="0.3">
      <c r="A823" t="s">
        <v>1049</v>
      </c>
      <c r="B823" t="s">
        <v>321</v>
      </c>
      <c r="C823" t="s">
        <v>64</v>
      </c>
      <c r="D823" s="1">
        <v>45573</v>
      </c>
      <c r="E823" t="s">
        <v>13</v>
      </c>
      <c r="F823" t="s">
        <v>14</v>
      </c>
      <c r="G823">
        <v>8144.51</v>
      </c>
      <c r="H823">
        <v>500</v>
      </c>
      <c r="I823">
        <v>7644.51</v>
      </c>
      <c r="J823">
        <v>93.860894999999999</v>
      </c>
    </row>
    <row r="824" spans="1:10" x14ac:dyDescent="0.3">
      <c r="A824" t="s">
        <v>1050</v>
      </c>
      <c r="B824" t="s">
        <v>288</v>
      </c>
      <c r="C824" t="s">
        <v>17</v>
      </c>
      <c r="D824" s="1">
        <v>45501</v>
      </c>
      <c r="E824" t="s">
        <v>31</v>
      </c>
      <c r="F824" t="s">
        <v>14</v>
      </c>
      <c r="G824">
        <v>8435.48</v>
      </c>
      <c r="H824">
        <v>500</v>
      </c>
      <c r="I824">
        <v>7935.48</v>
      </c>
      <c r="J824">
        <v>94.072654999999997</v>
      </c>
    </row>
    <row r="825" spans="1:10" x14ac:dyDescent="0.3">
      <c r="A825" t="s">
        <v>1051</v>
      </c>
      <c r="B825" t="s">
        <v>152</v>
      </c>
      <c r="C825" t="s">
        <v>17</v>
      </c>
      <c r="D825" s="1">
        <v>45517</v>
      </c>
      <c r="E825" t="s">
        <v>47</v>
      </c>
      <c r="F825" t="s">
        <v>28</v>
      </c>
      <c r="G825">
        <v>47718.89</v>
      </c>
      <c r="H825">
        <v>2000</v>
      </c>
      <c r="I825">
        <v>45718.89</v>
      </c>
      <c r="J825">
        <v>95.808788000000007</v>
      </c>
    </row>
    <row r="826" spans="1:10" x14ac:dyDescent="0.3">
      <c r="A826" t="s">
        <v>1052</v>
      </c>
      <c r="B826" t="s">
        <v>396</v>
      </c>
      <c r="C826" t="s">
        <v>64</v>
      </c>
      <c r="D826" s="1">
        <v>45595</v>
      </c>
      <c r="E826" t="s">
        <v>13</v>
      </c>
      <c r="F826" t="s">
        <v>14</v>
      </c>
      <c r="G826">
        <v>20042.39</v>
      </c>
      <c r="H826">
        <v>500</v>
      </c>
      <c r="I826">
        <v>19542.39</v>
      </c>
      <c r="J826">
        <v>97.505287999999993</v>
      </c>
    </row>
    <row r="827" spans="1:10" x14ac:dyDescent="0.3">
      <c r="A827" t="s">
        <v>1053</v>
      </c>
      <c r="B827" t="s">
        <v>389</v>
      </c>
      <c r="C827" t="s">
        <v>12</v>
      </c>
      <c r="D827" s="1">
        <v>45526</v>
      </c>
      <c r="E827" t="s">
        <v>47</v>
      </c>
      <c r="F827" t="s">
        <v>19</v>
      </c>
      <c r="G827">
        <v>1343.45</v>
      </c>
      <c r="H827">
        <v>12000</v>
      </c>
      <c r="I827">
        <v>-10656.55</v>
      </c>
      <c r="J827">
        <v>-793.22267299999999</v>
      </c>
    </row>
    <row r="828" spans="1:10" x14ac:dyDescent="0.3">
      <c r="A828" t="s">
        <v>1054</v>
      </c>
      <c r="B828" t="s">
        <v>268</v>
      </c>
      <c r="C828" t="s">
        <v>17</v>
      </c>
      <c r="D828" s="1">
        <v>45621</v>
      </c>
      <c r="E828" t="s">
        <v>57</v>
      </c>
      <c r="F828" t="s">
        <v>14</v>
      </c>
      <c r="G828">
        <v>45790.8</v>
      </c>
      <c r="H828">
        <v>500</v>
      </c>
      <c r="I828">
        <v>45290.8</v>
      </c>
      <c r="J828">
        <v>98.908078000000003</v>
      </c>
    </row>
    <row r="829" spans="1:10" x14ac:dyDescent="0.3">
      <c r="A829" t="s">
        <v>1055</v>
      </c>
      <c r="B829" t="s">
        <v>90</v>
      </c>
      <c r="C829" t="s">
        <v>12</v>
      </c>
      <c r="D829" s="1">
        <v>45346</v>
      </c>
      <c r="E829" t="s">
        <v>49</v>
      </c>
      <c r="F829" t="s">
        <v>19</v>
      </c>
      <c r="G829">
        <v>49480.14</v>
      </c>
      <c r="H829">
        <v>12000</v>
      </c>
      <c r="I829">
        <v>37480.14</v>
      </c>
      <c r="J829">
        <v>75.747844999999998</v>
      </c>
    </row>
    <row r="830" spans="1:10" x14ac:dyDescent="0.3">
      <c r="A830" t="s">
        <v>1056</v>
      </c>
      <c r="B830" t="s">
        <v>206</v>
      </c>
      <c r="C830" t="s">
        <v>40</v>
      </c>
      <c r="D830" s="1">
        <v>45307</v>
      </c>
      <c r="E830" t="s">
        <v>44</v>
      </c>
      <c r="F830" t="s">
        <v>19</v>
      </c>
      <c r="G830">
        <v>40541.040000000001</v>
      </c>
      <c r="H830">
        <v>12000</v>
      </c>
      <c r="I830">
        <v>28541.040000000001</v>
      </c>
      <c r="J830">
        <v>70.400364999999994</v>
      </c>
    </row>
    <row r="831" spans="1:10" x14ac:dyDescent="0.3">
      <c r="A831" t="s">
        <v>1057</v>
      </c>
      <c r="B831" t="s">
        <v>152</v>
      </c>
      <c r="C831" t="s">
        <v>17</v>
      </c>
      <c r="D831" s="1">
        <v>45538</v>
      </c>
      <c r="E831" t="s">
        <v>24</v>
      </c>
      <c r="F831" t="s">
        <v>14</v>
      </c>
      <c r="G831">
        <v>8869.27</v>
      </c>
      <c r="H831">
        <v>500</v>
      </c>
      <c r="I831">
        <v>8369.27</v>
      </c>
      <c r="J831">
        <v>94.362556999999995</v>
      </c>
    </row>
    <row r="832" spans="1:10" x14ac:dyDescent="0.3">
      <c r="A832" t="s">
        <v>1058</v>
      </c>
      <c r="B832" t="s">
        <v>528</v>
      </c>
      <c r="C832" t="s">
        <v>17</v>
      </c>
      <c r="D832" s="1">
        <v>45507</v>
      </c>
      <c r="E832" t="s">
        <v>47</v>
      </c>
      <c r="F832" t="s">
        <v>28</v>
      </c>
      <c r="G832">
        <v>15194</v>
      </c>
      <c r="H832">
        <v>2000</v>
      </c>
      <c r="I832">
        <v>13194</v>
      </c>
      <c r="J832">
        <v>86.836909000000006</v>
      </c>
    </row>
    <row r="833" spans="1:10" x14ac:dyDescent="0.3">
      <c r="A833" t="s">
        <v>1059</v>
      </c>
      <c r="B833" t="s">
        <v>683</v>
      </c>
      <c r="C833" t="s">
        <v>40</v>
      </c>
      <c r="D833" s="1">
        <v>45474</v>
      </c>
      <c r="E833" t="s">
        <v>31</v>
      </c>
      <c r="F833" t="s">
        <v>28</v>
      </c>
      <c r="G833">
        <v>40425.839999999997</v>
      </c>
      <c r="H833">
        <v>2000</v>
      </c>
      <c r="I833">
        <v>38425.839999999997</v>
      </c>
      <c r="J833">
        <v>95.052668999999995</v>
      </c>
    </row>
    <row r="834" spans="1:10" x14ac:dyDescent="0.3">
      <c r="A834" t="s">
        <v>1060</v>
      </c>
      <c r="B834" t="s">
        <v>550</v>
      </c>
      <c r="C834" t="s">
        <v>64</v>
      </c>
      <c r="D834" s="1">
        <v>45417</v>
      </c>
      <c r="E834" t="s">
        <v>37</v>
      </c>
      <c r="F834" t="s">
        <v>28</v>
      </c>
      <c r="G834">
        <v>20468.919999999998</v>
      </c>
      <c r="H834">
        <v>2000</v>
      </c>
      <c r="I834">
        <v>18468.919999999998</v>
      </c>
      <c r="J834">
        <v>90.229089000000002</v>
      </c>
    </row>
    <row r="835" spans="1:10" x14ac:dyDescent="0.3">
      <c r="A835" t="s">
        <v>1061</v>
      </c>
      <c r="B835" t="s">
        <v>316</v>
      </c>
      <c r="C835" t="s">
        <v>12</v>
      </c>
      <c r="D835" s="1">
        <v>45531</v>
      </c>
      <c r="E835" t="s">
        <v>47</v>
      </c>
      <c r="F835" t="s">
        <v>14</v>
      </c>
      <c r="G835">
        <v>2680.01</v>
      </c>
      <c r="H835">
        <v>500</v>
      </c>
      <c r="I835">
        <v>2180.0100000000002</v>
      </c>
      <c r="J835">
        <v>81.343352999999993</v>
      </c>
    </row>
    <row r="836" spans="1:10" x14ac:dyDescent="0.3">
      <c r="A836" t="s">
        <v>1062</v>
      </c>
      <c r="B836" t="s">
        <v>39</v>
      </c>
      <c r="C836" t="s">
        <v>40</v>
      </c>
      <c r="D836" s="1">
        <v>45340</v>
      </c>
      <c r="E836" t="s">
        <v>49</v>
      </c>
      <c r="F836" t="s">
        <v>14</v>
      </c>
      <c r="G836">
        <v>13574.63</v>
      </c>
      <c r="H836">
        <v>500</v>
      </c>
      <c r="I836">
        <v>13074.63</v>
      </c>
      <c r="J836">
        <v>96.316658000000004</v>
      </c>
    </row>
    <row r="837" spans="1:10" x14ac:dyDescent="0.3">
      <c r="A837" t="s">
        <v>1063</v>
      </c>
      <c r="B837" t="s">
        <v>259</v>
      </c>
      <c r="C837" t="s">
        <v>17</v>
      </c>
      <c r="D837" s="1">
        <v>45401</v>
      </c>
      <c r="E837" t="s">
        <v>27</v>
      </c>
      <c r="F837" t="s">
        <v>32</v>
      </c>
      <c r="G837">
        <v>5840.28</v>
      </c>
      <c r="H837">
        <v>30000</v>
      </c>
      <c r="I837">
        <v>-24159.72</v>
      </c>
      <c r="J837">
        <v>-413.67400199999997</v>
      </c>
    </row>
    <row r="838" spans="1:10" x14ac:dyDescent="0.3">
      <c r="A838" t="s">
        <v>1064</v>
      </c>
      <c r="B838" t="s">
        <v>263</v>
      </c>
      <c r="C838" t="s">
        <v>64</v>
      </c>
      <c r="D838" s="1">
        <v>45606</v>
      </c>
      <c r="E838" t="s">
        <v>57</v>
      </c>
      <c r="F838" t="s">
        <v>19</v>
      </c>
      <c r="G838">
        <v>50279.35</v>
      </c>
      <c r="H838">
        <v>12000</v>
      </c>
      <c r="I838">
        <v>38279.35</v>
      </c>
      <c r="J838">
        <v>76.133342999999996</v>
      </c>
    </row>
    <row r="839" spans="1:10" x14ac:dyDescent="0.3">
      <c r="A839" t="s">
        <v>1065</v>
      </c>
      <c r="B839" t="s">
        <v>489</v>
      </c>
      <c r="C839" t="s">
        <v>40</v>
      </c>
      <c r="D839" s="1">
        <v>45557</v>
      </c>
      <c r="E839" t="s">
        <v>24</v>
      </c>
      <c r="F839" t="s">
        <v>32</v>
      </c>
      <c r="G839">
        <v>27354.95</v>
      </c>
      <c r="H839">
        <v>30000</v>
      </c>
      <c r="I839">
        <v>-2645.05</v>
      </c>
      <c r="J839">
        <v>-9.6693650000000009</v>
      </c>
    </row>
    <row r="840" spans="1:10" x14ac:dyDescent="0.3">
      <c r="A840" t="s">
        <v>1066</v>
      </c>
      <c r="B840" t="s">
        <v>380</v>
      </c>
      <c r="C840" t="s">
        <v>64</v>
      </c>
      <c r="D840" s="1">
        <v>45495</v>
      </c>
      <c r="E840" t="s">
        <v>31</v>
      </c>
      <c r="F840" t="s">
        <v>14</v>
      </c>
      <c r="G840">
        <v>15169.1</v>
      </c>
      <c r="H840">
        <v>500</v>
      </c>
      <c r="I840">
        <v>14669.1</v>
      </c>
      <c r="J840">
        <v>96.703826000000007</v>
      </c>
    </row>
    <row r="841" spans="1:10" x14ac:dyDescent="0.3">
      <c r="A841" t="s">
        <v>1067</v>
      </c>
      <c r="B841" t="s">
        <v>26</v>
      </c>
      <c r="C841" t="s">
        <v>12</v>
      </c>
      <c r="D841" s="1">
        <v>45484</v>
      </c>
      <c r="E841" t="s">
        <v>31</v>
      </c>
      <c r="F841" t="s">
        <v>14</v>
      </c>
      <c r="G841">
        <v>11670.88</v>
      </c>
      <c r="H841">
        <v>500</v>
      </c>
      <c r="I841">
        <v>11170.88</v>
      </c>
      <c r="J841">
        <v>95.715833000000003</v>
      </c>
    </row>
    <row r="842" spans="1:10" x14ac:dyDescent="0.3">
      <c r="A842" t="s">
        <v>1068</v>
      </c>
      <c r="B842" t="s">
        <v>448</v>
      </c>
      <c r="C842" t="s">
        <v>40</v>
      </c>
      <c r="D842" s="1">
        <v>45587</v>
      </c>
      <c r="E842" t="s">
        <v>13</v>
      </c>
      <c r="F842" t="s">
        <v>28</v>
      </c>
      <c r="G842">
        <v>12954.7</v>
      </c>
      <c r="H842">
        <v>2000</v>
      </c>
      <c r="I842">
        <v>10954.7</v>
      </c>
      <c r="J842">
        <v>84.561588</v>
      </c>
    </row>
    <row r="843" spans="1:10" x14ac:dyDescent="0.3">
      <c r="A843" t="s">
        <v>1069</v>
      </c>
      <c r="B843" t="s">
        <v>291</v>
      </c>
      <c r="C843" t="s">
        <v>12</v>
      </c>
      <c r="D843" s="1">
        <v>45424</v>
      </c>
      <c r="E843" t="s">
        <v>37</v>
      </c>
      <c r="F843" t="s">
        <v>19</v>
      </c>
      <c r="G843">
        <v>6654.79</v>
      </c>
      <c r="H843">
        <v>12000</v>
      </c>
      <c r="I843">
        <v>-5345.21</v>
      </c>
      <c r="J843">
        <v>-80.321241999999998</v>
      </c>
    </row>
    <row r="844" spans="1:10" x14ac:dyDescent="0.3">
      <c r="A844" t="s">
        <v>1070</v>
      </c>
      <c r="B844" t="s">
        <v>282</v>
      </c>
      <c r="C844" t="s">
        <v>17</v>
      </c>
      <c r="D844" s="1">
        <v>45477</v>
      </c>
      <c r="E844" t="s">
        <v>31</v>
      </c>
      <c r="F844" t="s">
        <v>19</v>
      </c>
      <c r="G844">
        <v>2322.62</v>
      </c>
      <c r="H844">
        <v>12000</v>
      </c>
      <c r="I844">
        <v>-9677.3799999999992</v>
      </c>
      <c r="J844">
        <v>-416.65791200000001</v>
      </c>
    </row>
    <row r="845" spans="1:10" x14ac:dyDescent="0.3">
      <c r="A845" t="s">
        <v>1071</v>
      </c>
      <c r="B845" t="s">
        <v>713</v>
      </c>
      <c r="C845" t="s">
        <v>40</v>
      </c>
      <c r="D845" s="1">
        <v>45620</v>
      </c>
      <c r="E845" t="s">
        <v>57</v>
      </c>
      <c r="F845" t="s">
        <v>32</v>
      </c>
      <c r="G845">
        <v>43252.14</v>
      </c>
      <c r="H845">
        <v>30000</v>
      </c>
      <c r="I845">
        <v>13252.14</v>
      </c>
      <c r="J845">
        <v>30.63927</v>
      </c>
    </row>
    <row r="846" spans="1:10" x14ac:dyDescent="0.3">
      <c r="A846" t="s">
        <v>1072</v>
      </c>
      <c r="B846" t="s">
        <v>1073</v>
      </c>
      <c r="C846" t="s">
        <v>40</v>
      </c>
      <c r="D846" s="1">
        <v>45634</v>
      </c>
      <c r="E846" t="s">
        <v>95</v>
      </c>
      <c r="F846" t="s">
        <v>32</v>
      </c>
      <c r="G846">
        <v>17014.29</v>
      </c>
      <c r="H846">
        <v>30000</v>
      </c>
      <c r="I846">
        <v>-12985.71</v>
      </c>
      <c r="J846">
        <v>-76.322373999999996</v>
      </c>
    </row>
    <row r="847" spans="1:10" x14ac:dyDescent="0.3">
      <c r="A847" t="s">
        <v>1074</v>
      </c>
      <c r="B847" t="s">
        <v>59</v>
      </c>
      <c r="C847" t="s">
        <v>40</v>
      </c>
      <c r="D847" s="1">
        <v>45389</v>
      </c>
      <c r="E847" t="s">
        <v>27</v>
      </c>
      <c r="F847" t="s">
        <v>14</v>
      </c>
      <c r="G847">
        <v>20307.71</v>
      </c>
      <c r="H847">
        <v>500</v>
      </c>
      <c r="I847">
        <v>19807.71</v>
      </c>
      <c r="J847">
        <v>97.537880999999999</v>
      </c>
    </row>
    <row r="848" spans="1:10" x14ac:dyDescent="0.3">
      <c r="A848" t="s">
        <v>1075</v>
      </c>
      <c r="B848" t="s">
        <v>204</v>
      </c>
      <c r="C848" t="s">
        <v>40</v>
      </c>
      <c r="D848" s="1">
        <v>45373</v>
      </c>
      <c r="E848" t="s">
        <v>18</v>
      </c>
      <c r="F848" t="s">
        <v>28</v>
      </c>
      <c r="G848">
        <v>3905.22</v>
      </c>
      <c r="H848">
        <v>2000</v>
      </c>
      <c r="I848">
        <v>1905.22</v>
      </c>
      <c r="J848">
        <v>48.786496</v>
      </c>
    </row>
    <row r="849" spans="1:10" x14ac:dyDescent="0.3">
      <c r="A849" t="s">
        <v>1076</v>
      </c>
      <c r="B849" t="s">
        <v>179</v>
      </c>
      <c r="C849" t="s">
        <v>12</v>
      </c>
      <c r="D849" s="1">
        <v>45351</v>
      </c>
      <c r="E849" t="s">
        <v>49</v>
      </c>
      <c r="F849" t="s">
        <v>14</v>
      </c>
      <c r="G849">
        <v>9934.08</v>
      </c>
      <c r="H849">
        <v>500</v>
      </c>
      <c r="I849">
        <v>9434.08</v>
      </c>
      <c r="J849">
        <v>94.966820999999996</v>
      </c>
    </row>
    <row r="850" spans="1:10" x14ac:dyDescent="0.3">
      <c r="A850" t="s">
        <v>1077</v>
      </c>
      <c r="B850" t="s">
        <v>713</v>
      </c>
      <c r="C850" t="s">
        <v>40</v>
      </c>
      <c r="D850" s="1">
        <v>45368</v>
      </c>
      <c r="E850" t="s">
        <v>18</v>
      </c>
      <c r="F850" t="s">
        <v>28</v>
      </c>
      <c r="G850">
        <v>38293.300000000003</v>
      </c>
      <c r="H850">
        <v>2000</v>
      </c>
      <c r="I850">
        <v>36293.300000000003</v>
      </c>
      <c r="J850">
        <v>94.777153999999996</v>
      </c>
    </row>
    <row r="851" spans="1:10" x14ac:dyDescent="0.3">
      <c r="A851" t="s">
        <v>1078</v>
      </c>
      <c r="B851" t="s">
        <v>300</v>
      </c>
      <c r="C851" t="s">
        <v>40</v>
      </c>
      <c r="D851" s="1">
        <v>45326</v>
      </c>
      <c r="E851" t="s">
        <v>49</v>
      </c>
      <c r="F851" t="s">
        <v>32</v>
      </c>
      <c r="G851">
        <v>3142.21</v>
      </c>
      <c r="H851">
        <v>30000</v>
      </c>
      <c r="I851">
        <v>-26857.79</v>
      </c>
      <c r="J851">
        <v>-854.74204499999996</v>
      </c>
    </row>
    <row r="852" spans="1:10" x14ac:dyDescent="0.3">
      <c r="A852" t="s">
        <v>1079</v>
      </c>
      <c r="B852" t="s">
        <v>489</v>
      </c>
      <c r="C852" t="s">
        <v>40</v>
      </c>
      <c r="D852" s="1">
        <v>45519</v>
      </c>
      <c r="E852" t="s">
        <v>47</v>
      </c>
      <c r="F852" t="s">
        <v>28</v>
      </c>
      <c r="G852">
        <v>13993.99</v>
      </c>
      <c r="H852">
        <v>2000</v>
      </c>
      <c r="I852">
        <v>11993.99</v>
      </c>
      <c r="J852">
        <v>85.708150000000003</v>
      </c>
    </row>
    <row r="853" spans="1:10" x14ac:dyDescent="0.3">
      <c r="A853" t="s">
        <v>1080</v>
      </c>
      <c r="B853" t="s">
        <v>177</v>
      </c>
      <c r="C853" t="s">
        <v>64</v>
      </c>
      <c r="D853" s="1">
        <v>45357</v>
      </c>
      <c r="E853" t="s">
        <v>18</v>
      </c>
      <c r="F853" t="s">
        <v>19</v>
      </c>
      <c r="G853">
        <v>12084.93</v>
      </c>
      <c r="H853">
        <v>12000</v>
      </c>
      <c r="I853">
        <v>84.93</v>
      </c>
      <c r="J853">
        <v>0.70277599999999996</v>
      </c>
    </row>
    <row r="854" spans="1:10" x14ac:dyDescent="0.3">
      <c r="A854" t="s">
        <v>1081</v>
      </c>
      <c r="B854" t="s">
        <v>503</v>
      </c>
      <c r="C854" t="s">
        <v>40</v>
      </c>
      <c r="D854" s="1">
        <v>45523</v>
      </c>
      <c r="E854" t="s">
        <v>47</v>
      </c>
      <c r="F854" t="s">
        <v>14</v>
      </c>
      <c r="G854">
        <v>9231.08</v>
      </c>
      <c r="H854">
        <v>500</v>
      </c>
      <c r="I854">
        <v>8731.08</v>
      </c>
      <c r="J854">
        <v>94.583516000000003</v>
      </c>
    </row>
    <row r="855" spans="1:10" x14ac:dyDescent="0.3">
      <c r="A855" t="s">
        <v>1082</v>
      </c>
      <c r="B855" t="s">
        <v>130</v>
      </c>
      <c r="C855" t="s">
        <v>40</v>
      </c>
      <c r="D855" s="1">
        <v>45582</v>
      </c>
      <c r="E855" t="s">
        <v>13</v>
      </c>
      <c r="F855" t="s">
        <v>32</v>
      </c>
      <c r="G855">
        <v>13704.14</v>
      </c>
      <c r="H855">
        <v>30000</v>
      </c>
      <c r="I855">
        <v>-16295.86</v>
      </c>
      <c r="J855">
        <v>-118.91194900000001</v>
      </c>
    </row>
    <row r="856" spans="1:10" x14ac:dyDescent="0.3">
      <c r="A856" t="s">
        <v>1083</v>
      </c>
      <c r="B856" t="s">
        <v>215</v>
      </c>
      <c r="C856" t="s">
        <v>17</v>
      </c>
      <c r="D856" s="1">
        <v>45473</v>
      </c>
      <c r="E856" t="s">
        <v>41</v>
      </c>
      <c r="F856" t="s">
        <v>14</v>
      </c>
      <c r="G856">
        <v>4962.09</v>
      </c>
      <c r="H856">
        <v>500</v>
      </c>
      <c r="I856">
        <v>4462.09</v>
      </c>
      <c r="J856">
        <v>89.923601000000005</v>
      </c>
    </row>
    <row r="857" spans="1:10" x14ac:dyDescent="0.3">
      <c r="A857" t="s">
        <v>1084</v>
      </c>
      <c r="B857" t="s">
        <v>266</v>
      </c>
      <c r="C857" t="s">
        <v>12</v>
      </c>
      <c r="D857" s="1">
        <v>45651</v>
      </c>
      <c r="E857" t="s">
        <v>95</v>
      </c>
      <c r="F857" t="s">
        <v>19</v>
      </c>
      <c r="G857">
        <v>23474.53</v>
      </c>
      <c r="H857">
        <v>12000</v>
      </c>
      <c r="I857">
        <v>11474.53</v>
      </c>
      <c r="J857">
        <v>48.880766000000001</v>
      </c>
    </row>
    <row r="858" spans="1:10" x14ac:dyDescent="0.3">
      <c r="A858" t="s">
        <v>1085</v>
      </c>
      <c r="B858" t="s">
        <v>215</v>
      </c>
      <c r="C858" t="s">
        <v>17</v>
      </c>
      <c r="D858" s="1">
        <v>45639</v>
      </c>
      <c r="E858" t="s">
        <v>95</v>
      </c>
      <c r="F858" t="s">
        <v>32</v>
      </c>
      <c r="G858">
        <v>3652.17</v>
      </c>
      <c r="H858">
        <v>30000</v>
      </c>
      <c r="I858">
        <v>-26347.83</v>
      </c>
      <c r="J858">
        <v>-721.42945199999997</v>
      </c>
    </row>
    <row r="859" spans="1:10" x14ac:dyDescent="0.3">
      <c r="A859" t="s">
        <v>1086</v>
      </c>
      <c r="B859" t="s">
        <v>557</v>
      </c>
      <c r="C859" t="s">
        <v>17</v>
      </c>
      <c r="D859" s="1">
        <v>45603</v>
      </c>
      <c r="E859" t="s">
        <v>57</v>
      </c>
      <c r="F859" t="s">
        <v>19</v>
      </c>
      <c r="G859">
        <v>17133.93</v>
      </c>
      <c r="H859">
        <v>12000</v>
      </c>
      <c r="I859">
        <v>5133.93</v>
      </c>
      <c r="J859">
        <v>29.963529000000001</v>
      </c>
    </row>
    <row r="860" spans="1:10" x14ac:dyDescent="0.3">
      <c r="A860" t="s">
        <v>1087</v>
      </c>
      <c r="B860" t="s">
        <v>261</v>
      </c>
      <c r="C860" t="s">
        <v>40</v>
      </c>
      <c r="D860" s="1">
        <v>45525</v>
      </c>
      <c r="E860" t="s">
        <v>47</v>
      </c>
      <c r="F860" t="s">
        <v>19</v>
      </c>
      <c r="G860">
        <v>19572.72</v>
      </c>
      <c r="H860">
        <v>12000</v>
      </c>
      <c r="I860">
        <v>7572.72</v>
      </c>
      <c r="J860">
        <v>38.690176999999998</v>
      </c>
    </row>
    <row r="861" spans="1:10" x14ac:dyDescent="0.3">
      <c r="A861" t="s">
        <v>1088</v>
      </c>
      <c r="B861" t="s">
        <v>672</v>
      </c>
      <c r="C861" t="s">
        <v>17</v>
      </c>
      <c r="D861" s="1">
        <v>45329</v>
      </c>
      <c r="E861" t="s">
        <v>49</v>
      </c>
      <c r="F861" t="s">
        <v>32</v>
      </c>
      <c r="G861">
        <v>40721.83</v>
      </c>
      <c r="H861">
        <v>30000</v>
      </c>
      <c r="I861">
        <v>10721.83</v>
      </c>
      <c r="J861">
        <v>26.329440000000002</v>
      </c>
    </row>
    <row r="862" spans="1:10" x14ac:dyDescent="0.3">
      <c r="A862" t="s">
        <v>1089</v>
      </c>
      <c r="B862" t="s">
        <v>1090</v>
      </c>
      <c r="C862" t="s">
        <v>40</v>
      </c>
      <c r="D862" s="1">
        <v>45626</v>
      </c>
      <c r="E862" t="s">
        <v>57</v>
      </c>
      <c r="F862" t="s">
        <v>28</v>
      </c>
      <c r="G862">
        <v>43022.73</v>
      </c>
      <c r="H862">
        <v>2000</v>
      </c>
      <c r="I862">
        <v>41022.730000000003</v>
      </c>
      <c r="J862">
        <v>95.351294999999993</v>
      </c>
    </row>
    <row r="863" spans="1:10" x14ac:dyDescent="0.3">
      <c r="A863" t="s">
        <v>1091</v>
      </c>
      <c r="B863" t="s">
        <v>233</v>
      </c>
      <c r="C863" t="s">
        <v>17</v>
      </c>
      <c r="D863" s="1">
        <v>45448</v>
      </c>
      <c r="E863" t="s">
        <v>41</v>
      </c>
      <c r="F863" t="s">
        <v>19</v>
      </c>
      <c r="G863">
        <v>47626.02</v>
      </c>
      <c r="H863">
        <v>12000</v>
      </c>
      <c r="I863">
        <v>35626.019999999997</v>
      </c>
      <c r="J863">
        <v>74.803689000000006</v>
      </c>
    </row>
    <row r="864" spans="1:10" x14ac:dyDescent="0.3">
      <c r="A864" t="s">
        <v>1092</v>
      </c>
      <c r="B864" t="s">
        <v>210</v>
      </c>
      <c r="C864" t="s">
        <v>64</v>
      </c>
      <c r="D864" s="1">
        <v>45329</v>
      </c>
      <c r="E864" t="s">
        <v>49</v>
      </c>
      <c r="F864" t="s">
        <v>19</v>
      </c>
      <c r="G864">
        <v>28358.3</v>
      </c>
      <c r="H864">
        <v>12000</v>
      </c>
      <c r="I864">
        <v>16358.3</v>
      </c>
      <c r="J864">
        <v>57.684345999999998</v>
      </c>
    </row>
    <row r="865" spans="1:10" x14ac:dyDescent="0.3">
      <c r="A865" t="s">
        <v>1093</v>
      </c>
      <c r="B865" t="s">
        <v>497</v>
      </c>
      <c r="C865" t="s">
        <v>64</v>
      </c>
      <c r="D865" s="1">
        <v>45422</v>
      </c>
      <c r="E865" t="s">
        <v>37</v>
      </c>
      <c r="F865" t="s">
        <v>14</v>
      </c>
      <c r="G865">
        <v>39864.9</v>
      </c>
      <c r="H865">
        <v>500</v>
      </c>
      <c r="I865">
        <v>39364.9</v>
      </c>
      <c r="J865">
        <v>98.745763999999994</v>
      </c>
    </row>
    <row r="866" spans="1:10" x14ac:dyDescent="0.3">
      <c r="A866" t="s">
        <v>1094</v>
      </c>
      <c r="B866" t="s">
        <v>225</v>
      </c>
      <c r="C866" t="s">
        <v>40</v>
      </c>
      <c r="D866" s="1">
        <v>45588</v>
      </c>
      <c r="E866" t="s">
        <v>13</v>
      </c>
      <c r="F866" t="s">
        <v>14</v>
      </c>
      <c r="G866">
        <v>44156.38</v>
      </c>
      <c r="H866">
        <v>500</v>
      </c>
      <c r="I866">
        <v>43656.38</v>
      </c>
      <c r="J866">
        <v>98.867660999999998</v>
      </c>
    </row>
    <row r="867" spans="1:10" x14ac:dyDescent="0.3">
      <c r="A867" t="s">
        <v>1095</v>
      </c>
      <c r="B867" t="s">
        <v>206</v>
      </c>
      <c r="C867" t="s">
        <v>40</v>
      </c>
      <c r="D867" s="1">
        <v>45302</v>
      </c>
      <c r="E867" t="s">
        <v>44</v>
      </c>
      <c r="F867" t="s">
        <v>19</v>
      </c>
      <c r="G867">
        <v>27988.69</v>
      </c>
      <c r="H867">
        <v>12000</v>
      </c>
      <c r="I867">
        <v>15988.69</v>
      </c>
      <c r="J867">
        <v>57.125539000000003</v>
      </c>
    </row>
    <row r="868" spans="1:10" x14ac:dyDescent="0.3">
      <c r="A868" t="s">
        <v>1096</v>
      </c>
      <c r="B868" t="s">
        <v>339</v>
      </c>
      <c r="C868" t="s">
        <v>12</v>
      </c>
      <c r="D868" s="1">
        <v>45515</v>
      </c>
      <c r="E868" t="s">
        <v>47</v>
      </c>
      <c r="F868" t="s">
        <v>28</v>
      </c>
      <c r="G868">
        <v>37822.58</v>
      </c>
      <c r="H868">
        <v>2000</v>
      </c>
      <c r="I868">
        <v>35822.58</v>
      </c>
      <c r="J868">
        <v>94.712153000000001</v>
      </c>
    </row>
    <row r="869" spans="1:10" x14ac:dyDescent="0.3">
      <c r="A869" t="s">
        <v>1097</v>
      </c>
      <c r="B869" t="s">
        <v>432</v>
      </c>
      <c r="C869" t="s">
        <v>64</v>
      </c>
      <c r="D869" s="1">
        <v>45581</v>
      </c>
      <c r="E869" t="s">
        <v>13</v>
      </c>
      <c r="F869" t="s">
        <v>14</v>
      </c>
      <c r="G869">
        <v>21561.29</v>
      </c>
      <c r="H869">
        <v>500</v>
      </c>
      <c r="I869">
        <v>21061.29</v>
      </c>
      <c r="J869">
        <v>97.681028999999995</v>
      </c>
    </row>
    <row r="870" spans="1:10" x14ac:dyDescent="0.3">
      <c r="A870" t="s">
        <v>1098</v>
      </c>
      <c r="B870" t="s">
        <v>486</v>
      </c>
      <c r="C870" t="s">
        <v>40</v>
      </c>
      <c r="D870" s="1">
        <v>45541</v>
      </c>
      <c r="E870" t="s">
        <v>24</v>
      </c>
      <c r="F870" t="s">
        <v>14</v>
      </c>
      <c r="G870">
        <v>46511.12</v>
      </c>
      <c r="H870">
        <v>500</v>
      </c>
      <c r="I870">
        <v>46011.12</v>
      </c>
      <c r="J870">
        <v>98.924987999999999</v>
      </c>
    </row>
    <row r="871" spans="1:10" x14ac:dyDescent="0.3">
      <c r="A871" t="s">
        <v>1099</v>
      </c>
      <c r="B871" t="s">
        <v>82</v>
      </c>
      <c r="C871" t="s">
        <v>17</v>
      </c>
      <c r="D871" s="1">
        <v>45310</v>
      </c>
      <c r="E871" t="s">
        <v>44</v>
      </c>
      <c r="F871" t="s">
        <v>32</v>
      </c>
      <c r="G871">
        <v>49017.98</v>
      </c>
      <c r="H871">
        <v>30000</v>
      </c>
      <c r="I871">
        <v>19017.98</v>
      </c>
      <c r="J871">
        <v>38.797967999999997</v>
      </c>
    </row>
    <row r="872" spans="1:10" x14ac:dyDescent="0.3">
      <c r="A872" t="s">
        <v>1100</v>
      </c>
      <c r="B872" t="s">
        <v>331</v>
      </c>
      <c r="C872" t="s">
        <v>12</v>
      </c>
      <c r="D872" s="1">
        <v>45431</v>
      </c>
      <c r="E872" t="s">
        <v>37</v>
      </c>
      <c r="F872" t="s">
        <v>14</v>
      </c>
      <c r="G872">
        <v>33821.480000000003</v>
      </c>
      <c r="H872">
        <v>500</v>
      </c>
      <c r="I872">
        <v>33321.480000000003</v>
      </c>
      <c r="J872">
        <v>98.521649999999994</v>
      </c>
    </row>
    <row r="873" spans="1:10" x14ac:dyDescent="0.3">
      <c r="A873" t="s">
        <v>1101</v>
      </c>
      <c r="B873" t="s">
        <v>247</v>
      </c>
      <c r="C873" t="s">
        <v>40</v>
      </c>
      <c r="D873" s="1">
        <v>45564</v>
      </c>
      <c r="E873" t="s">
        <v>24</v>
      </c>
      <c r="F873" t="s">
        <v>32</v>
      </c>
      <c r="G873">
        <v>9818.5499999999993</v>
      </c>
      <c r="H873">
        <v>30000</v>
      </c>
      <c r="I873">
        <v>-20181.45</v>
      </c>
      <c r="J873">
        <v>-205.54409799999999</v>
      </c>
    </row>
    <row r="874" spans="1:10" x14ac:dyDescent="0.3">
      <c r="A874" t="s">
        <v>1102</v>
      </c>
      <c r="B874" t="s">
        <v>426</v>
      </c>
      <c r="C874" t="s">
        <v>12</v>
      </c>
      <c r="D874" s="1">
        <v>45331</v>
      </c>
      <c r="E874" t="s">
        <v>49</v>
      </c>
      <c r="F874" t="s">
        <v>32</v>
      </c>
      <c r="G874">
        <v>48246.05</v>
      </c>
      <c r="H874">
        <v>30000</v>
      </c>
      <c r="I874">
        <v>18246.05</v>
      </c>
      <c r="J874">
        <v>37.818744000000002</v>
      </c>
    </row>
    <row r="875" spans="1:10" x14ac:dyDescent="0.3">
      <c r="A875" t="s">
        <v>1103</v>
      </c>
      <c r="B875" t="s">
        <v>326</v>
      </c>
      <c r="C875" t="s">
        <v>40</v>
      </c>
      <c r="D875" s="1">
        <v>45305</v>
      </c>
      <c r="E875" t="s">
        <v>44</v>
      </c>
      <c r="F875" t="s">
        <v>28</v>
      </c>
      <c r="G875">
        <v>11513.48</v>
      </c>
      <c r="H875">
        <v>2000</v>
      </c>
      <c r="I875">
        <v>9513.48</v>
      </c>
      <c r="J875">
        <v>82.629057000000003</v>
      </c>
    </row>
    <row r="876" spans="1:10" x14ac:dyDescent="0.3">
      <c r="A876" t="s">
        <v>1104</v>
      </c>
      <c r="B876" t="s">
        <v>231</v>
      </c>
      <c r="C876" t="s">
        <v>64</v>
      </c>
      <c r="D876" s="1">
        <v>45652</v>
      </c>
      <c r="E876" t="s">
        <v>95</v>
      </c>
      <c r="F876" t="s">
        <v>19</v>
      </c>
      <c r="G876">
        <v>43091.360000000001</v>
      </c>
      <c r="H876">
        <v>12000</v>
      </c>
      <c r="I876">
        <v>31091.360000000001</v>
      </c>
      <c r="J876">
        <v>72.152190000000004</v>
      </c>
    </row>
    <row r="877" spans="1:10" x14ac:dyDescent="0.3">
      <c r="A877" t="s">
        <v>1105</v>
      </c>
      <c r="B877" t="s">
        <v>619</v>
      </c>
      <c r="C877" t="s">
        <v>40</v>
      </c>
      <c r="D877" s="1">
        <v>45626</v>
      </c>
      <c r="E877" t="s">
        <v>57</v>
      </c>
      <c r="F877" t="s">
        <v>28</v>
      </c>
      <c r="G877">
        <v>46482.26</v>
      </c>
      <c r="H877">
        <v>2000</v>
      </c>
      <c r="I877">
        <v>44482.26</v>
      </c>
      <c r="J877">
        <v>95.697282999999999</v>
      </c>
    </row>
    <row r="878" spans="1:10" x14ac:dyDescent="0.3">
      <c r="A878" t="s">
        <v>1106</v>
      </c>
      <c r="B878" t="s">
        <v>266</v>
      </c>
      <c r="C878" t="s">
        <v>12</v>
      </c>
      <c r="D878" s="1">
        <v>45619</v>
      </c>
      <c r="E878" t="s">
        <v>57</v>
      </c>
      <c r="F878" t="s">
        <v>14</v>
      </c>
      <c r="G878">
        <v>24631.55</v>
      </c>
      <c r="H878">
        <v>500</v>
      </c>
      <c r="I878">
        <v>24131.55</v>
      </c>
      <c r="J878">
        <v>97.970083000000002</v>
      </c>
    </row>
    <row r="879" spans="1:10" x14ac:dyDescent="0.3">
      <c r="A879" t="s">
        <v>1107</v>
      </c>
      <c r="B879" t="s">
        <v>240</v>
      </c>
      <c r="C879" t="s">
        <v>64</v>
      </c>
      <c r="D879" s="1">
        <v>45572</v>
      </c>
      <c r="E879" t="s">
        <v>13</v>
      </c>
      <c r="F879" t="s">
        <v>28</v>
      </c>
      <c r="G879">
        <v>20845.98</v>
      </c>
      <c r="H879">
        <v>2000</v>
      </c>
      <c r="I879">
        <v>18845.98</v>
      </c>
      <c r="J879">
        <v>90.405823999999996</v>
      </c>
    </row>
    <row r="880" spans="1:10" x14ac:dyDescent="0.3">
      <c r="A880" t="s">
        <v>1108</v>
      </c>
      <c r="B880" t="s">
        <v>141</v>
      </c>
      <c r="C880" t="s">
        <v>12</v>
      </c>
      <c r="D880" s="1">
        <v>45610</v>
      </c>
      <c r="E880" t="s">
        <v>57</v>
      </c>
      <c r="F880" t="s">
        <v>14</v>
      </c>
      <c r="G880">
        <v>46852.68</v>
      </c>
      <c r="H880">
        <v>500</v>
      </c>
      <c r="I880">
        <v>46352.68</v>
      </c>
      <c r="J880">
        <v>98.932824999999994</v>
      </c>
    </row>
    <row r="881" spans="1:10" x14ac:dyDescent="0.3">
      <c r="A881" t="s">
        <v>1109</v>
      </c>
      <c r="B881" t="s">
        <v>182</v>
      </c>
      <c r="C881" t="s">
        <v>12</v>
      </c>
      <c r="D881" s="1">
        <v>45305</v>
      </c>
      <c r="E881" t="s">
        <v>44</v>
      </c>
      <c r="F881" t="s">
        <v>14</v>
      </c>
      <c r="G881">
        <v>26631.01</v>
      </c>
      <c r="H881">
        <v>500</v>
      </c>
      <c r="I881">
        <v>26131.01</v>
      </c>
      <c r="J881">
        <v>98.122489999999999</v>
      </c>
    </row>
    <row r="882" spans="1:10" x14ac:dyDescent="0.3">
      <c r="A882" t="s">
        <v>1110</v>
      </c>
      <c r="B882" t="s">
        <v>336</v>
      </c>
      <c r="C882" t="s">
        <v>12</v>
      </c>
      <c r="D882" s="1">
        <v>45486</v>
      </c>
      <c r="E882" t="s">
        <v>31</v>
      </c>
      <c r="F882" t="s">
        <v>14</v>
      </c>
      <c r="G882">
        <v>30047.33</v>
      </c>
      <c r="H882">
        <v>500</v>
      </c>
      <c r="I882">
        <v>29547.33</v>
      </c>
      <c r="J882">
        <v>98.335959000000003</v>
      </c>
    </row>
    <row r="883" spans="1:10" x14ac:dyDescent="0.3">
      <c r="A883" t="s">
        <v>1111</v>
      </c>
      <c r="B883" t="s">
        <v>237</v>
      </c>
      <c r="C883" t="s">
        <v>40</v>
      </c>
      <c r="D883" s="1">
        <v>45611</v>
      </c>
      <c r="E883" t="s">
        <v>57</v>
      </c>
      <c r="F883" t="s">
        <v>32</v>
      </c>
      <c r="G883">
        <v>32982.559999999998</v>
      </c>
      <c r="H883">
        <v>30000</v>
      </c>
      <c r="I883">
        <v>2982.56</v>
      </c>
      <c r="J883">
        <v>9.04284</v>
      </c>
    </row>
    <row r="884" spans="1:10" x14ac:dyDescent="0.3">
      <c r="A884" t="s">
        <v>1112</v>
      </c>
      <c r="B884" t="s">
        <v>344</v>
      </c>
      <c r="C884" t="s">
        <v>12</v>
      </c>
      <c r="D884" s="1">
        <v>45318</v>
      </c>
      <c r="E884" t="s">
        <v>44</v>
      </c>
      <c r="F884" t="s">
        <v>14</v>
      </c>
      <c r="G884">
        <v>32277.19</v>
      </c>
      <c r="H884">
        <v>500</v>
      </c>
      <c r="I884">
        <v>31777.19</v>
      </c>
      <c r="J884">
        <v>98.450918000000001</v>
      </c>
    </row>
    <row r="885" spans="1:10" x14ac:dyDescent="0.3">
      <c r="A885" t="s">
        <v>1113</v>
      </c>
      <c r="B885" t="s">
        <v>97</v>
      </c>
      <c r="C885" t="s">
        <v>40</v>
      </c>
      <c r="D885" s="1">
        <v>45406</v>
      </c>
      <c r="E885" t="s">
        <v>27</v>
      </c>
      <c r="F885" t="s">
        <v>19</v>
      </c>
      <c r="G885">
        <v>28595.22</v>
      </c>
      <c r="H885">
        <v>12000</v>
      </c>
      <c r="I885">
        <v>16595.22</v>
      </c>
      <c r="J885">
        <v>58.034944000000003</v>
      </c>
    </row>
    <row r="886" spans="1:10" x14ac:dyDescent="0.3">
      <c r="A886" t="s">
        <v>1114</v>
      </c>
      <c r="B886" t="s">
        <v>215</v>
      </c>
      <c r="C886" t="s">
        <v>17</v>
      </c>
      <c r="D886" s="1">
        <v>45494</v>
      </c>
      <c r="E886" t="s">
        <v>31</v>
      </c>
      <c r="F886" t="s">
        <v>32</v>
      </c>
      <c r="G886">
        <v>19089.98</v>
      </c>
      <c r="H886">
        <v>30000</v>
      </c>
      <c r="I886">
        <v>-10910.02</v>
      </c>
      <c r="J886">
        <v>-57.150505000000003</v>
      </c>
    </row>
    <row r="887" spans="1:10" x14ac:dyDescent="0.3">
      <c r="A887" t="s">
        <v>1115</v>
      </c>
      <c r="B887" t="s">
        <v>393</v>
      </c>
      <c r="C887" t="s">
        <v>64</v>
      </c>
      <c r="D887" s="1">
        <v>45522</v>
      </c>
      <c r="E887" t="s">
        <v>47</v>
      </c>
      <c r="F887" t="s">
        <v>14</v>
      </c>
      <c r="G887">
        <v>43587.28</v>
      </c>
      <c r="H887">
        <v>500</v>
      </c>
      <c r="I887">
        <v>43087.28</v>
      </c>
      <c r="J887">
        <v>98.852875999999995</v>
      </c>
    </row>
    <row r="888" spans="1:10" x14ac:dyDescent="0.3">
      <c r="A888" t="s">
        <v>1116</v>
      </c>
      <c r="B888" t="s">
        <v>270</v>
      </c>
      <c r="C888" t="s">
        <v>17</v>
      </c>
      <c r="D888" s="1">
        <v>45327</v>
      </c>
      <c r="E888" t="s">
        <v>49</v>
      </c>
      <c r="F888" t="s">
        <v>19</v>
      </c>
      <c r="G888">
        <v>36871.67</v>
      </c>
      <c r="H888">
        <v>12000</v>
      </c>
      <c r="I888">
        <v>24871.67</v>
      </c>
      <c r="J888">
        <v>67.454688000000004</v>
      </c>
    </row>
    <row r="889" spans="1:10" x14ac:dyDescent="0.3">
      <c r="A889" t="s">
        <v>1117</v>
      </c>
      <c r="B889" t="s">
        <v>257</v>
      </c>
      <c r="C889" t="s">
        <v>12</v>
      </c>
      <c r="D889" s="1">
        <v>45472</v>
      </c>
      <c r="E889" t="s">
        <v>41</v>
      </c>
      <c r="F889" t="s">
        <v>28</v>
      </c>
      <c r="G889">
        <v>28504.89</v>
      </c>
      <c r="H889">
        <v>2000</v>
      </c>
      <c r="I889">
        <v>26504.89</v>
      </c>
      <c r="J889">
        <v>92.98366</v>
      </c>
    </row>
    <row r="890" spans="1:10" x14ac:dyDescent="0.3">
      <c r="A890" t="s">
        <v>1118</v>
      </c>
      <c r="B890" t="s">
        <v>186</v>
      </c>
      <c r="C890" t="s">
        <v>64</v>
      </c>
      <c r="D890" s="1">
        <v>45294</v>
      </c>
      <c r="E890" t="s">
        <v>44</v>
      </c>
      <c r="F890" t="s">
        <v>19</v>
      </c>
      <c r="G890">
        <v>19394.79</v>
      </c>
      <c r="H890">
        <v>12000</v>
      </c>
      <c r="I890">
        <v>7394.79</v>
      </c>
      <c r="J890">
        <v>38.127713999999997</v>
      </c>
    </row>
    <row r="891" spans="1:10" x14ac:dyDescent="0.3">
      <c r="A891" t="s">
        <v>1119</v>
      </c>
      <c r="B891" t="s">
        <v>249</v>
      </c>
      <c r="C891" t="s">
        <v>64</v>
      </c>
      <c r="D891" s="1">
        <v>45375</v>
      </c>
      <c r="E891" t="s">
        <v>18</v>
      </c>
      <c r="F891" t="s">
        <v>14</v>
      </c>
      <c r="G891">
        <v>15126.68</v>
      </c>
      <c r="H891">
        <v>500</v>
      </c>
      <c r="I891">
        <v>14626.68</v>
      </c>
      <c r="J891">
        <v>96.694581999999997</v>
      </c>
    </row>
    <row r="892" spans="1:10" x14ac:dyDescent="0.3">
      <c r="A892" t="s">
        <v>1120</v>
      </c>
      <c r="B892" t="s">
        <v>448</v>
      </c>
      <c r="C892" t="s">
        <v>40</v>
      </c>
      <c r="D892" s="1">
        <v>45394</v>
      </c>
      <c r="E892" t="s">
        <v>27</v>
      </c>
      <c r="F892" t="s">
        <v>14</v>
      </c>
      <c r="G892">
        <v>33427.86</v>
      </c>
      <c r="H892">
        <v>500</v>
      </c>
      <c r="I892">
        <v>32927.86</v>
      </c>
      <c r="J892">
        <v>98.504242000000005</v>
      </c>
    </row>
    <row r="893" spans="1:10" x14ac:dyDescent="0.3">
      <c r="A893" t="s">
        <v>1121</v>
      </c>
      <c r="B893" t="s">
        <v>331</v>
      </c>
      <c r="C893" t="s">
        <v>12</v>
      </c>
      <c r="D893" s="1">
        <v>45342</v>
      </c>
      <c r="E893" t="s">
        <v>49</v>
      </c>
      <c r="F893" t="s">
        <v>28</v>
      </c>
      <c r="G893">
        <v>14809.27</v>
      </c>
      <c r="H893">
        <v>2000</v>
      </c>
      <c r="I893">
        <v>12809.27</v>
      </c>
      <c r="J893">
        <v>86.494945000000001</v>
      </c>
    </row>
    <row r="894" spans="1:10" x14ac:dyDescent="0.3">
      <c r="A894" t="s">
        <v>1122</v>
      </c>
      <c r="B894" t="s">
        <v>720</v>
      </c>
      <c r="C894" t="s">
        <v>40</v>
      </c>
      <c r="D894" s="1">
        <v>45426</v>
      </c>
      <c r="E894" t="s">
        <v>37</v>
      </c>
      <c r="F894" t="s">
        <v>32</v>
      </c>
      <c r="G894">
        <v>5203.74</v>
      </c>
      <c r="H894">
        <v>30000</v>
      </c>
      <c r="I894">
        <v>-24796.26</v>
      </c>
      <c r="J894">
        <v>-476.50843400000002</v>
      </c>
    </row>
    <row r="895" spans="1:10" x14ac:dyDescent="0.3">
      <c r="A895" t="s">
        <v>1123</v>
      </c>
      <c r="B895" t="s">
        <v>367</v>
      </c>
      <c r="C895" t="s">
        <v>40</v>
      </c>
      <c r="D895" s="1">
        <v>45329</v>
      </c>
      <c r="E895" t="s">
        <v>49</v>
      </c>
      <c r="F895" t="s">
        <v>32</v>
      </c>
      <c r="G895">
        <v>11360.83</v>
      </c>
      <c r="H895">
        <v>30000</v>
      </c>
      <c r="I895">
        <v>-18639.169999999998</v>
      </c>
      <c r="J895">
        <v>-164.065214</v>
      </c>
    </row>
    <row r="896" spans="1:10" x14ac:dyDescent="0.3">
      <c r="A896" t="s">
        <v>1124</v>
      </c>
      <c r="B896" t="s">
        <v>21</v>
      </c>
      <c r="C896" t="s">
        <v>17</v>
      </c>
      <c r="D896" s="1">
        <v>45531</v>
      </c>
      <c r="E896" t="s">
        <v>47</v>
      </c>
      <c r="F896" t="s">
        <v>28</v>
      </c>
      <c r="G896">
        <v>27216.05</v>
      </c>
      <c r="H896">
        <v>2000</v>
      </c>
      <c r="I896">
        <v>25216.05</v>
      </c>
      <c r="J896">
        <v>92.651394999999994</v>
      </c>
    </row>
    <row r="897" spans="1:10" x14ac:dyDescent="0.3">
      <c r="A897" t="s">
        <v>1125</v>
      </c>
      <c r="B897" t="s">
        <v>193</v>
      </c>
      <c r="C897" t="s">
        <v>17</v>
      </c>
      <c r="D897" s="1">
        <v>45493</v>
      </c>
      <c r="E897" t="s">
        <v>31</v>
      </c>
      <c r="F897" t="s">
        <v>14</v>
      </c>
      <c r="G897">
        <v>17494.95</v>
      </c>
      <c r="H897">
        <v>500</v>
      </c>
      <c r="I897">
        <v>16994.95</v>
      </c>
      <c r="J897">
        <v>97.142032</v>
      </c>
    </row>
    <row r="898" spans="1:10" x14ac:dyDescent="0.3">
      <c r="A898" t="s">
        <v>1126</v>
      </c>
      <c r="B898" t="s">
        <v>316</v>
      </c>
      <c r="C898" t="s">
        <v>12</v>
      </c>
      <c r="D898" s="1">
        <v>45423</v>
      </c>
      <c r="E898" t="s">
        <v>37</v>
      </c>
      <c r="F898" t="s">
        <v>19</v>
      </c>
      <c r="G898">
        <v>26050.49</v>
      </c>
      <c r="H898">
        <v>12000</v>
      </c>
      <c r="I898">
        <v>14050.49</v>
      </c>
      <c r="J898">
        <v>53.935606999999997</v>
      </c>
    </row>
    <row r="899" spans="1:10" x14ac:dyDescent="0.3">
      <c r="A899" t="s">
        <v>1127</v>
      </c>
      <c r="B899" t="s">
        <v>367</v>
      </c>
      <c r="C899" t="s">
        <v>40</v>
      </c>
      <c r="D899" s="1">
        <v>45494</v>
      </c>
      <c r="E899" t="s">
        <v>31</v>
      </c>
      <c r="F899" t="s">
        <v>19</v>
      </c>
      <c r="G899">
        <v>7700.04</v>
      </c>
      <c r="H899">
        <v>12000</v>
      </c>
      <c r="I899">
        <v>-4299.96</v>
      </c>
      <c r="J899">
        <v>-55.843345999999997</v>
      </c>
    </row>
    <row r="900" spans="1:10" x14ac:dyDescent="0.3">
      <c r="A900" t="s">
        <v>1128</v>
      </c>
      <c r="B900" t="s">
        <v>208</v>
      </c>
      <c r="C900" t="s">
        <v>12</v>
      </c>
      <c r="D900" s="1">
        <v>45578</v>
      </c>
      <c r="E900" t="s">
        <v>13</v>
      </c>
      <c r="F900" t="s">
        <v>28</v>
      </c>
      <c r="G900">
        <v>11795.09</v>
      </c>
      <c r="H900">
        <v>2000</v>
      </c>
      <c r="I900">
        <v>9795.09</v>
      </c>
      <c r="J900">
        <v>83.043791999999996</v>
      </c>
    </row>
    <row r="901" spans="1:10" x14ac:dyDescent="0.3">
      <c r="A901" t="s">
        <v>1129</v>
      </c>
      <c r="B901" t="s">
        <v>266</v>
      </c>
      <c r="C901" t="s">
        <v>12</v>
      </c>
      <c r="D901" s="1">
        <v>45350</v>
      </c>
      <c r="E901" t="s">
        <v>49</v>
      </c>
      <c r="F901" t="s">
        <v>32</v>
      </c>
      <c r="G901">
        <v>11154.9</v>
      </c>
      <c r="H901">
        <v>30000</v>
      </c>
      <c r="I901">
        <v>-18845.099999999999</v>
      </c>
      <c r="J901">
        <v>-168.94010700000001</v>
      </c>
    </row>
    <row r="902" spans="1:10" x14ac:dyDescent="0.3">
      <c r="A902" t="s">
        <v>1130</v>
      </c>
      <c r="B902" t="s">
        <v>43</v>
      </c>
      <c r="C902" t="s">
        <v>40</v>
      </c>
      <c r="D902" s="1">
        <v>45335</v>
      </c>
      <c r="E902" t="s">
        <v>49</v>
      </c>
      <c r="F902" t="s">
        <v>14</v>
      </c>
      <c r="G902">
        <v>21768.33</v>
      </c>
      <c r="H902">
        <v>500</v>
      </c>
      <c r="I902">
        <v>21268.33</v>
      </c>
      <c r="J902">
        <v>97.703085000000002</v>
      </c>
    </row>
    <row r="903" spans="1:10" x14ac:dyDescent="0.3">
      <c r="A903" t="s">
        <v>1131</v>
      </c>
      <c r="B903" t="s">
        <v>117</v>
      </c>
      <c r="C903" t="s">
        <v>64</v>
      </c>
      <c r="D903" s="1">
        <v>45452</v>
      </c>
      <c r="E903" t="s">
        <v>41</v>
      </c>
      <c r="F903" t="s">
        <v>32</v>
      </c>
      <c r="G903">
        <v>32142.47</v>
      </c>
      <c r="H903">
        <v>30000</v>
      </c>
      <c r="I903">
        <v>2142.4699999999998</v>
      </c>
      <c r="J903">
        <v>6.6655430000000004</v>
      </c>
    </row>
    <row r="904" spans="1:10" x14ac:dyDescent="0.3">
      <c r="A904" t="s">
        <v>1132</v>
      </c>
      <c r="B904" t="s">
        <v>297</v>
      </c>
      <c r="C904" t="s">
        <v>17</v>
      </c>
      <c r="D904" s="1">
        <v>45511</v>
      </c>
      <c r="E904" t="s">
        <v>47</v>
      </c>
      <c r="F904" t="s">
        <v>14</v>
      </c>
      <c r="G904">
        <v>4946.3100000000004</v>
      </c>
      <c r="H904">
        <v>500</v>
      </c>
      <c r="I904">
        <v>4446.3100000000004</v>
      </c>
      <c r="J904">
        <v>89.891453999999996</v>
      </c>
    </row>
    <row r="905" spans="1:10" x14ac:dyDescent="0.3">
      <c r="A905" t="s">
        <v>1133</v>
      </c>
      <c r="B905" t="s">
        <v>76</v>
      </c>
      <c r="C905" t="s">
        <v>17</v>
      </c>
      <c r="D905" s="1">
        <v>45298</v>
      </c>
      <c r="E905" t="s">
        <v>44</v>
      </c>
      <c r="F905" t="s">
        <v>19</v>
      </c>
      <c r="G905">
        <v>19684.77</v>
      </c>
      <c r="H905">
        <v>12000</v>
      </c>
      <c r="I905">
        <v>7684.77</v>
      </c>
      <c r="J905">
        <v>39.039166000000002</v>
      </c>
    </row>
    <row r="906" spans="1:10" x14ac:dyDescent="0.3">
      <c r="A906" t="s">
        <v>1134</v>
      </c>
      <c r="B906" t="s">
        <v>713</v>
      </c>
      <c r="C906" t="s">
        <v>40</v>
      </c>
      <c r="D906" s="1">
        <v>45461</v>
      </c>
      <c r="E906" t="s">
        <v>41</v>
      </c>
      <c r="F906" t="s">
        <v>14</v>
      </c>
      <c r="G906">
        <v>17586.78</v>
      </c>
      <c r="H906">
        <v>500</v>
      </c>
      <c r="I906">
        <v>17086.78</v>
      </c>
      <c r="J906">
        <v>97.156954999999996</v>
      </c>
    </row>
    <row r="907" spans="1:10" x14ac:dyDescent="0.3">
      <c r="A907" t="s">
        <v>1135</v>
      </c>
      <c r="B907" t="s">
        <v>103</v>
      </c>
      <c r="C907" t="s">
        <v>12</v>
      </c>
      <c r="D907" s="1">
        <v>45630</v>
      </c>
      <c r="E907" t="s">
        <v>95</v>
      </c>
      <c r="F907" t="s">
        <v>28</v>
      </c>
      <c r="G907">
        <v>41607.42</v>
      </c>
      <c r="H907">
        <v>2000</v>
      </c>
      <c r="I907">
        <v>39607.42</v>
      </c>
      <c r="J907">
        <v>95.193164999999993</v>
      </c>
    </row>
    <row r="908" spans="1:10" x14ac:dyDescent="0.3">
      <c r="A908" t="s">
        <v>1136</v>
      </c>
      <c r="B908" t="s">
        <v>683</v>
      </c>
      <c r="C908" t="s">
        <v>40</v>
      </c>
      <c r="D908" s="1">
        <v>45487</v>
      </c>
      <c r="E908" t="s">
        <v>31</v>
      </c>
      <c r="F908" t="s">
        <v>14</v>
      </c>
      <c r="G908">
        <v>31863.49</v>
      </c>
      <c r="H908">
        <v>500</v>
      </c>
      <c r="I908">
        <v>31363.49</v>
      </c>
      <c r="J908">
        <v>98.430806000000004</v>
      </c>
    </row>
    <row r="909" spans="1:10" x14ac:dyDescent="0.3">
      <c r="A909" t="s">
        <v>1137</v>
      </c>
      <c r="B909" t="s">
        <v>545</v>
      </c>
      <c r="C909" t="s">
        <v>40</v>
      </c>
      <c r="D909" s="1">
        <v>45557</v>
      </c>
      <c r="E909" t="s">
        <v>24</v>
      </c>
      <c r="F909" t="s">
        <v>19</v>
      </c>
      <c r="G909">
        <v>22544.63</v>
      </c>
      <c r="H909">
        <v>12000</v>
      </c>
      <c r="I909">
        <v>10544.63</v>
      </c>
      <c r="J909">
        <v>46.772247</v>
      </c>
    </row>
    <row r="910" spans="1:10" x14ac:dyDescent="0.3">
      <c r="A910" t="s">
        <v>1138</v>
      </c>
      <c r="B910" t="s">
        <v>59</v>
      </c>
      <c r="C910" t="s">
        <v>40</v>
      </c>
      <c r="D910" s="1">
        <v>45464</v>
      </c>
      <c r="E910" t="s">
        <v>41</v>
      </c>
      <c r="F910" t="s">
        <v>14</v>
      </c>
      <c r="G910">
        <v>44999.74</v>
      </c>
      <c r="H910">
        <v>500</v>
      </c>
      <c r="I910">
        <v>44499.74</v>
      </c>
      <c r="J910">
        <v>98.888881999999995</v>
      </c>
    </row>
    <row r="911" spans="1:10" x14ac:dyDescent="0.3">
      <c r="A911" t="s">
        <v>1139</v>
      </c>
      <c r="B911" t="s">
        <v>380</v>
      </c>
      <c r="C911" t="s">
        <v>64</v>
      </c>
      <c r="D911" s="1">
        <v>45549</v>
      </c>
      <c r="E911" t="s">
        <v>24</v>
      </c>
      <c r="F911" t="s">
        <v>28</v>
      </c>
      <c r="G911">
        <v>30773.81</v>
      </c>
      <c r="H911">
        <v>2000</v>
      </c>
      <c r="I911">
        <v>28773.81</v>
      </c>
      <c r="J911">
        <v>93.500967000000003</v>
      </c>
    </row>
    <row r="912" spans="1:10" x14ac:dyDescent="0.3">
      <c r="A912" t="s">
        <v>1140</v>
      </c>
      <c r="B912" t="s">
        <v>964</v>
      </c>
      <c r="C912" t="s">
        <v>17</v>
      </c>
      <c r="D912" s="1">
        <v>45510</v>
      </c>
      <c r="E912" t="s">
        <v>47</v>
      </c>
      <c r="F912" t="s">
        <v>28</v>
      </c>
      <c r="G912">
        <v>40934.85</v>
      </c>
      <c r="H912">
        <v>2000</v>
      </c>
      <c r="I912">
        <v>38934.85</v>
      </c>
      <c r="J912">
        <v>95.114187999999999</v>
      </c>
    </row>
    <row r="913" spans="1:10" x14ac:dyDescent="0.3">
      <c r="A913" t="s">
        <v>1141</v>
      </c>
      <c r="B913" t="s">
        <v>331</v>
      </c>
      <c r="C913" t="s">
        <v>12</v>
      </c>
      <c r="D913" s="1">
        <v>45465</v>
      </c>
      <c r="E913" t="s">
        <v>41</v>
      </c>
      <c r="F913" t="s">
        <v>19</v>
      </c>
      <c r="G913">
        <v>35368.089999999997</v>
      </c>
      <c r="H913">
        <v>12000</v>
      </c>
      <c r="I913">
        <v>23368.09</v>
      </c>
      <c r="J913">
        <v>66.071111000000002</v>
      </c>
    </row>
    <row r="914" spans="1:10" x14ac:dyDescent="0.3">
      <c r="A914" t="s">
        <v>1142</v>
      </c>
      <c r="B914" t="s">
        <v>288</v>
      </c>
      <c r="C914" t="s">
        <v>17</v>
      </c>
      <c r="D914" s="1">
        <v>45368</v>
      </c>
      <c r="E914" t="s">
        <v>18</v>
      </c>
      <c r="F914" t="s">
        <v>32</v>
      </c>
      <c r="G914">
        <v>5265.73</v>
      </c>
      <c r="H914">
        <v>30000</v>
      </c>
      <c r="I914">
        <v>-24734.27</v>
      </c>
      <c r="J914">
        <v>-469.72157700000002</v>
      </c>
    </row>
    <row r="915" spans="1:10" x14ac:dyDescent="0.3">
      <c r="A915" t="s">
        <v>1143</v>
      </c>
      <c r="B915" t="s">
        <v>39</v>
      </c>
      <c r="C915" t="s">
        <v>40</v>
      </c>
      <c r="D915" s="1">
        <v>45455</v>
      </c>
      <c r="E915" t="s">
        <v>41</v>
      </c>
      <c r="F915" t="s">
        <v>19</v>
      </c>
      <c r="G915">
        <v>7004.56</v>
      </c>
      <c r="H915">
        <v>12000</v>
      </c>
      <c r="I915">
        <v>-4995.4399999999996</v>
      </c>
      <c r="J915">
        <v>-71.316970999999995</v>
      </c>
    </row>
    <row r="916" spans="1:10" x14ac:dyDescent="0.3">
      <c r="A916" t="s">
        <v>1144</v>
      </c>
      <c r="B916" t="s">
        <v>351</v>
      </c>
      <c r="C916" t="s">
        <v>40</v>
      </c>
      <c r="D916" s="1">
        <v>45565</v>
      </c>
      <c r="E916" t="s">
        <v>24</v>
      </c>
      <c r="F916" t="s">
        <v>19</v>
      </c>
      <c r="G916">
        <v>36650.879999999997</v>
      </c>
      <c r="H916">
        <v>12000</v>
      </c>
      <c r="I916">
        <v>24650.880000000001</v>
      </c>
      <c r="J916">
        <v>67.258630999999994</v>
      </c>
    </row>
    <row r="917" spans="1:10" x14ac:dyDescent="0.3">
      <c r="A917" t="s">
        <v>1145</v>
      </c>
      <c r="B917" t="s">
        <v>360</v>
      </c>
      <c r="C917" t="s">
        <v>64</v>
      </c>
      <c r="D917" s="1">
        <v>45536</v>
      </c>
      <c r="E917" t="s">
        <v>24</v>
      </c>
      <c r="F917" t="s">
        <v>19</v>
      </c>
      <c r="G917">
        <v>42443.77</v>
      </c>
      <c r="H917">
        <v>12000</v>
      </c>
      <c r="I917">
        <v>30443.77</v>
      </c>
      <c r="J917">
        <v>71.727299000000002</v>
      </c>
    </row>
    <row r="918" spans="1:10" x14ac:dyDescent="0.3">
      <c r="A918" t="s">
        <v>1146</v>
      </c>
      <c r="B918" t="s">
        <v>139</v>
      </c>
      <c r="C918" t="s">
        <v>17</v>
      </c>
      <c r="D918" s="1">
        <v>45395</v>
      </c>
      <c r="E918" t="s">
        <v>27</v>
      </c>
      <c r="F918" t="s">
        <v>28</v>
      </c>
      <c r="G918">
        <v>32898.53</v>
      </c>
      <c r="H918">
        <v>2000</v>
      </c>
      <c r="I918">
        <v>30898.53</v>
      </c>
      <c r="J918">
        <v>93.920700999999994</v>
      </c>
    </row>
    <row r="919" spans="1:10" x14ac:dyDescent="0.3">
      <c r="A919" t="s">
        <v>1147</v>
      </c>
      <c r="B919" t="s">
        <v>109</v>
      </c>
      <c r="C919" t="s">
        <v>40</v>
      </c>
      <c r="D919" s="1">
        <v>45410</v>
      </c>
      <c r="E919" t="s">
        <v>27</v>
      </c>
      <c r="F919" t="s">
        <v>19</v>
      </c>
      <c r="G919">
        <v>46001.03</v>
      </c>
      <c r="H919">
        <v>12000</v>
      </c>
      <c r="I919">
        <v>34001.03</v>
      </c>
      <c r="J919">
        <v>73.913628000000003</v>
      </c>
    </row>
    <row r="920" spans="1:10" x14ac:dyDescent="0.3">
      <c r="A920" t="s">
        <v>1148</v>
      </c>
      <c r="B920" t="s">
        <v>466</v>
      </c>
      <c r="C920" t="s">
        <v>40</v>
      </c>
      <c r="D920" s="1">
        <v>45515</v>
      </c>
      <c r="E920" t="s">
        <v>47</v>
      </c>
      <c r="F920" t="s">
        <v>14</v>
      </c>
      <c r="G920">
        <v>41675.85</v>
      </c>
      <c r="H920">
        <v>500</v>
      </c>
      <c r="I920">
        <v>41175.85</v>
      </c>
      <c r="J920">
        <v>98.800263999999999</v>
      </c>
    </row>
    <row r="921" spans="1:10" x14ac:dyDescent="0.3">
      <c r="A921" t="s">
        <v>1149</v>
      </c>
      <c r="B921" t="s">
        <v>68</v>
      </c>
      <c r="C921" t="s">
        <v>40</v>
      </c>
      <c r="D921" s="1">
        <v>45569</v>
      </c>
      <c r="E921" t="s">
        <v>13</v>
      </c>
      <c r="F921" t="s">
        <v>19</v>
      </c>
      <c r="G921">
        <v>28136.45</v>
      </c>
      <c r="H921">
        <v>12000</v>
      </c>
      <c r="I921">
        <v>16136.45</v>
      </c>
      <c r="J921">
        <v>57.350695999999999</v>
      </c>
    </row>
    <row r="922" spans="1:10" x14ac:dyDescent="0.3">
      <c r="A922" t="s">
        <v>1150</v>
      </c>
      <c r="B922" t="s">
        <v>441</v>
      </c>
      <c r="C922" t="s">
        <v>17</v>
      </c>
      <c r="D922" s="1">
        <v>45390</v>
      </c>
      <c r="E922" t="s">
        <v>27</v>
      </c>
      <c r="F922" t="s">
        <v>19</v>
      </c>
      <c r="G922">
        <v>8530.73</v>
      </c>
      <c r="H922">
        <v>12000</v>
      </c>
      <c r="I922">
        <v>-3469.27</v>
      </c>
      <c r="J922">
        <v>-40.667915000000001</v>
      </c>
    </row>
    <row r="923" spans="1:10" x14ac:dyDescent="0.3">
      <c r="A923" t="s">
        <v>1151</v>
      </c>
      <c r="B923" t="s">
        <v>557</v>
      </c>
      <c r="C923" t="s">
        <v>17</v>
      </c>
      <c r="D923" s="1">
        <v>45391</v>
      </c>
      <c r="E923" t="s">
        <v>27</v>
      </c>
      <c r="F923" t="s">
        <v>19</v>
      </c>
      <c r="G923">
        <v>30171.18</v>
      </c>
      <c r="H923">
        <v>12000</v>
      </c>
      <c r="I923">
        <v>18171.18</v>
      </c>
      <c r="J923">
        <v>60.226945000000001</v>
      </c>
    </row>
    <row r="924" spans="1:10" x14ac:dyDescent="0.3">
      <c r="A924" t="s">
        <v>1152</v>
      </c>
      <c r="B924" t="s">
        <v>141</v>
      </c>
      <c r="C924" t="s">
        <v>12</v>
      </c>
      <c r="D924" s="1">
        <v>45483</v>
      </c>
      <c r="E924" t="s">
        <v>31</v>
      </c>
      <c r="F924" t="s">
        <v>32</v>
      </c>
      <c r="G924">
        <v>14025.22</v>
      </c>
      <c r="H924">
        <v>30000</v>
      </c>
      <c r="I924">
        <v>-15974.78</v>
      </c>
      <c r="J924">
        <v>-113.90038800000001</v>
      </c>
    </row>
    <row r="925" spans="1:10" x14ac:dyDescent="0.3">
      <c r="A925" t="s">
        <v>1153</v>
      </c>
      <c r="B925" t="s">
        <v>223</v>
      </c>
      <c r="C925" t="s">
        <v>64</v>
      </c>
      <c r="D925" s="1">
        <v>45511</v>
      </c>
      <c r="E925" t="s">
        <v>47</v>
      </c>
      <c r="F925" t="s">
        <v>28</v>
      </c>
      <c r="G925">
        <v>40101.160000000003</v>
      </c>
      <c r="H925">
        <v>2000</v>
      </c>
      <c r="I925">
        <v>38101.160000000003</v>
      </c>
      <c r="J925">
        <v>95.012613000000002</v>
      </c>
    </row>
    <row r="926" spans="1:10" x14ac:dyDescent="0.3">
      <c r="A926" t="s">
        <v>1154</v>
      </c>
      <c r="B926" t="s">
        <v>92</v>
      </c>
      <c r="C926" t="s">
        <v>12</v>
      </c>
      <c r="D926" s="1">
        <v>45574</v>
      </c>
      <c r="E926" t="s">
        <v>13</v>
      </c>
      <c r="F926" t="s">
        <v>14</v>
      </c>
      <c r="G926">
        <v>25578.23</v>
      </c>
      <c r="H926">
        <v>500</v>
      </c>
      <c r="I926">
        <v>25078.23</v>
      </c>
      <c r="J926">
        <v>98.045213000000004</v>
      </c>
    </row>
    <row r="927" spans="1:10" x14ac:dyDescent="0.3">
      <c r="A927" t="s">
        <v>1155</v>
      </c>
      <c r="B927" t="s">
        <v>26</v>
      </c>
      <c r="C927" t="s">
        <v>12</v>
      </c>
      <c r="D927" s="1">
        <v>45634</v>
      </c>
      <c r="E927" t="s">
        <v>95</v>
      </c>
      <c r="F927" t="s">
        <v>32</v>
      </c>
      <c r="G927">
        <v>17810.240000000002</v>
      </c>
      <c r="H927">
        <v>30000</v>
      </c>
      <c r="I927">
        <v>-12189.76</v>
      </c>
      <c r="J927">
        <v>-68.442424000000003</v>
      </c>
    </row>
    <row r="928" spans="1:10" x14ac:dyDescent="0.3">
      <c r="A928" t="s">
        <v>1156</v>
      </c>
      <c r="B928" t="s">
        <v>204</v>
      </c>
      <c r="C928" t="s">
        <v>40</v>
      </c>
      <c r="D928" s="1">
        <v>45550</v>
      </c>
      <c r="E928" t="s">
        <v>24</v>
      </c>
      <c r="F928" t="s">
        <v>32</v>
      </c>
      <c r="G928">
        <v>39100.89</v>
      </c>
      <c r="H928">
        <v>30000</v>
      </c>
      <c r="I928">
        <v>9100.89</v>
      </c>
      <c r="J928">
        <v>23.275404000000002</v>
      </c>
    </row>
    <row r="929" spans="1:10" x14ac:dyDescent="0.3">
      <c r="A929" t="s">
        <v>1157</v>
      </c>
      <c r="B929" t="s">
        <v>179</v>
      </c>
      <c r="C929" t="s">
        <v>12</v>
      </c>
      <c r="D929" s="1">
        <v>45474</v>
      </c>
      <c r="E929" t="s">
        <v>31</v>
      </c>
      <c r="F929" t="s">
        <v>28</v>
      </c>
      <c r="G929">
        <v>30432.46</v>
      </c>
      <c r="H929">
        <v>2000</v>
      </c>
      <c r="I929">
        <v>28432.46</v>
      </c>
      <c r="J929">
        <v>93.428070000000005</v>
      </c>
    </row>
    <row r="930" spans="1:10" x14ac:dyDescent="0.3">
      <c r="A930" t="s">
        <v>1158</v>
      </c>
      <c r="B930" t="s">
        <v>363</v>
      </c>
      <c r="C930" t="s">
        <v>40</v>
      </c>
      <c r="D930" s="1">
        <v>45649</v>
      </c>
      <c r="E930" t="s">
        <v>95</v>
      </c>
      <c r="F930" t="s">
        <v>19</v>
      </c>
      <c r="G930">
        <v>20861.650000000001</v>
      </c>
      <c r="H930">
        <v>12000</v>
      </c>
      <c r="I930">
        <v>8861.65</v>
      </c>
      <c r="J930">
        <v>42.478183999999999</v>
      </c>
    </row>
    <row r="931" spans="1:10" x14ac:dyDescent="0.3">
      <c r="A931" t="s">
        <v>1159</v>
      </c>
      <c r="B931" t="s">
        <v>212</v>
      </c>
      <c r="C931" t="s">
        <v>12</v>
      </c>
      <c r="D931" s="1">
        <v>45623</v>
      </c>
      <c r="E931" t="s">
        <v>57</v>
      </c>
      <c r="F931" t="s">
        <v>14</v>
      </c>
      <c r="G931">
        <v>10347.48</v>
      </c>
      <c r="H931">
        <v>500</v>
      </c>
      <c r="I931">
        <v>9847.48</v>
      </c>
      <c r="J931">
        <v>95.167906000000002</v>
      </c>
    </row>
    <row r="932" spans="1:10" x14ac:dyDescent="0.3">
      <c r="A932" t="s">
        <v>1160</v>
      </c>
      <c r="B932" t="s">
        <v>78</v>
      </c>
      <c r="C932" t="s">
        <v>40</v>
      </c>
      <c r="D932" s="1">
        <v>45642</v>
      </c>
      <c r="E932" t="s">
        <v>95</v>
      </c>
      <c r="F932" t="s">
        <v>32</v>
      </c>
      <c r="G932">
        <v>27647.75</v>
      </c>
      <c r="H932">
        <v>30000</v>
      </c>
      <c r="I932">
        <v>-2352.25</v>
      </c>
      <c r="J932">
        <v>-8.5079259999999994</v>
      </c>
    </row>
    <row r="933" spans="1:10" x14ac:dyDescent="0.3">
      <c r="A933" t="s">
        <v>1161</v>
      </c>
      <c r="B933" t="s">
        <v>550</v>
      </c>
      <c r="C933" t="s">
        <v>64</v>
      </c>
      <c r="D933" s="1">
        <v>45294</v>
      </c>
      <c r="E933" t="s">
        <v>44</v>
      </c>
      <c r="F933" t="s">
        <v>32</v>
      </c>
      <c r="G933">
        <v>501.93</v>
      </c>
      <c r="H933">
        <v>30000</v>
      </c>
      <c r="I933">
        <v>-29498.07</v>
      </c>
      <c r="J933">
        <v>-5876.9290540000002</v>
      </c>
    </row>
    <row r="934" spans="1:10" x14ac:dyDescent="0.3">
      <c r="A934" t="s">
        <v>1162</v>
      </c>
      <c r="B934" t="s">
        <v>235</v>
      </c>
      <c r="C934" t="s">
        <v>12</v>
      </c>
      <c r="D934" s="1">
        <v>45541</v>
      </c>
      <c r="E934" t="s">
        <v>24</v>
      </c>
      <c r="F934" t="s">
        <v>28</v>
      </c>
      <c r="G934">
        <v>6442.76</v>
      </c>
      <c r="H934">
        <v>2000</v>
      </c>
      <c r="I934">
        <v>4442.76</v>
      </c>
      <c r="J934">
        <v>68.957402999999999</v>
      </c>
    </row>
    <row r="935" spans="1:10" x14ac:dyDescent="0.3">
      <c r="A935" t="s">
        <v>1163</v>
      </c>
      <c r="B935" t="s">
        <v>105</v>
      </c>
      <c r="C935" t="s">
        <v>64</v>
      </c>
      <c r="D935" s="1">
        <v>45455</v>
      </c>
      <c r="E935" t="s">
        <v>41</v>
      </c>
      <c r="F935" t="s">
        <v>14</v>
      </c>
      <c r="G935">
        <v>15599.03</v>
      </c>
      <c r="H935">
        <v>500</v>
      </c>
      <c r="I935">
        <v>15099.03</v>
      </c>
      <c r="J935">
        <v>96.794672000000006</v>
      </c>
    </row>
    <row r="936" spans="1:10" x14ac:dyDescent="0.3">
      <c r="A936" t="s">
        <v>1164</v>
      </c>
      <c r="B936" t="s">
        <v>446</v>
      </c>
      <c r="C936" t="s">
        <v>12</v>
      </c>
      <c r="D936" s="1">
        <v>45407</v>
      </c>
      <c r="E936" t="s">
        <v>27</v>
      </c>
      <c r="F936" t="s">
        <v>19</v>
      </c>
      <c r="G936">
        <v>27480.97</v>
      </c>
      <c r="H936">
        <v>12000</v>
      </c>
      <c r="I936">
        <v>15480.97</v>
      </c>
      <c r="J936">
        <v>56.333418999999999</v>
      </c>
    </row>
    <row r="937" spans="1:10" x14ac:dyDescent="0.3">
      <c r="A937" t="s">
        <v>1165</v>
      </c>
      <c r="B937" t="s">
        <v>510</v>
      </c>
      <c r="C937" t="s">
        <v>12</v>
      </c>
      <c r="D937" s="1">
        <v>45433</v>
      </c>
      <c r="E937" t="s">
        <v>37</v>
      </c>
      <c r="F937" t="s">
        <v>28</v>
      </c>
      <c r="G937">
        <v>28370.45</v>
      </c>
      <c r="H937">
        <v>2000</v>
      </c>
      <c r="I937">
        <v>26370.45</v>
      </c>
      <c r="J937">
        <v>92.950411000000003</v>
      </c>
    </row>
    <row r="938" spans="1:10" x14ac:dyDescent="0.3">
      <c r="A938" t="s">
        <v>1166</v>
      </c>
      <c r="B938" t="s">
        <v>90</v>
      </c>
      <c r="C938" t="s">
        <v>12</v>
      </c>
      <c r="D938" s="1">
        <v>45580</v>
      </c>
      <c r="E938" t="s">
        <v>13</v>
      </c>
      <c r="F938" t="s">
        <v>28</v>
      </c>
      <c r="G938">
        <v>3037.96</v>
      </c>
      <c r="H938">
        <v>2000</v>
      </c>
      <c r="I938">
        <v>1037.96</v>
      </c>
      <c r="J938">
        <v>34.166347999999999</v>
      </c>
    </row>
    <row r="939" spans="1:10" x14ac:dyDescent="0.3">
      <c r="A939" t="s">
        <v>1167</v>
      </c>
      <c r="B939" t="s">
        <v>356</v>
      </c>
      <c r="C939" t="s">
        <v>40</v>
      </c>
      <c r="D939" s="1">
        <v>45526</v>
      </c>
      <c r="E939" t="s">
        <v>47</v>
      </c>
      <c r="F939" t="s">
        <v>28</v>
      </c>
      <c r="G939">
        <v>21473.13</v>
      </c>
      <c r="H939">
        <v>2000</v>
      </c>
      <c r="I939">
        <v>19473.13</v>
      </c>
      <c r="J939">
        <v>90.686034000000006</v>
      </c>
    </row>
    <row r="940" spans="1:10" x14ac:dyDescent="0.3">
      <c r="A940" t="s">
        <v>1168</v>
      </c>
      <c r="B940" t="s">
        <v>339</v>
      </c>
      <c r="C940" t="s">
        <v>12</v>
      </c>
      <c r="D940" s="1">
        <v>45525</v>
      </c>
      <c r="E940" t="s">
        <v>47</v>
      </c>
      <c r="F940" t="s">
        <v>28</v>
      </c>
      <c r="G940">
        <v>19141.95</v>
      </c>
      <c r="H940">
        <v>2000</v>
      </c>
      <c r="I940">
        <v>17141.95</v>
      </c>
      <c r="J940">
        <v>89.551743999999999</v>
      </c>
    </row>
    <row r="941" spans="1:10" x14ac:dyDescent="0.3">
      <c r="A941" t="s">
        <v>1169</v>
      </c>
      <c r="B941" t="s">
        <v>901</v>
      </c>
      <c r="C941" t="s">
        <v>40</v>
      </c>
      <c r="D941" s="1">
        <v>45637</v>
      </c>
      <c r="E941" t="s">
        <v>95</v>
      </c>
      <c r="F941" t="s">
        <v>14</v>
      </c>
      <c r="G941">
        <v>902.44</v>
      </c>
      <c r="H941">
        <v>500</v>
      </c>
      <c r="I941">
        <v>402.44</v>
      </c>
      <c r="J941">
        <v>44.594653999999998</v>
      </c>
    </row>
    <row r="942" spans="1:10" x14ac:dyDescent="0.3">
      <c r="A942" t="s">
        <v>1170</v>
      </c>
      <c r="B942" t="s">
        <v>557</v>
      </c>
      <c r="C942" t="s">
        <v>17</v>
      </c>
      <c r="D942" s="1">
        <v>45634</v>
      </c>
      <c r="E942" t="s">
        <v>95</v>
      </c>
      <c r="F942" t="s">
        <v>14</v>
      </c>
      <c r="G942">
        <v>14101.83</v>
      </c>
      <c r="H942">
        <v>500</v>
      </c>
      <c r="I942">
        <v>13601.83</v>
      </c>
      <c r="J942">
        <v>96.454361000000006</v>
      </c>
    </row>
    <row r="943" spans="1:10" x14ac:dyDescent="0.3">
      <c r="A943" t="s">
        <v>1171</v>
      </c>
      <c r="B943" t="s">
        <v>505</v>
      </c>
      <c r="C943" t="s">
        <v>40</v>
      </c>
      <c r="D943" s="1">
        <v>45608</v>
      </c>
      <c r="E943" t="s">
        <v>57</v>
      </c>
      <c r="F943" t="s">
        <v>32</v>
      </c>
      <c r="G943">
        <v>15405.4</v>
      </c>
      <c r="H943">
        <v>30000</v>
      </c>
      <c r="I943">
        <v>-14594.6</v>
      </c>
      <c r="J943">
        <v>-94.736909999999995</v>
      </c>
    </row>
    <row r="944" spans="1:10" x14ac:dyDescent="0.3">
      <c r="A944" t="s">
        <v>1172</v>
      </c>
      <c r="B944" t="s">
        <v>328</v>
      </c>
      <c r="C944" t="s">
        <v>40</v>
      </c>
      <c r="D944" s="1">
        <v>45468</v>
      </c>
      <c r="E944" t="s">
        <v>41</v>
      </c>
      <c r="F944" t="s">
        <v>14</v>
      </c>
      <c r="G944">
        <v>30719.51</v>
      </c>
      <c r="H944">
        <v>500</v>
      </c>
      <c r="I944">
        <v>30219.51</v>
      </c>
      <c r="J944">
        <v>98.372370000000004</v>
      </c>
    </row>
    <row r="945" spans="1:10" x14ac:dyDescent="0.3">
      <c r="A945" t="s">
        <v>1173</v>
      </c>
      <c r="B945" t="s">
        <v>115</v>
      </c>
      <c r="C945" t="s">
        <v>17</v>
      </c>
      <c r="D945" s="1">
        <v>45625</v>
      </c>
      <c r="E945" t="s">
        <v>57</v>
      </c>
      <c r="F945" t="s">
        <v>32</v>
      </c>
      <c r="G945">
        <v>2268.65</v>
      </c>
      <c r="H945">
        <v>30000</v>
      </c>
      <c r="I945">
        <v>-27731.35</v>
      </c>
      <c r="J945">
        <v>-1222.3723359999999</v>
      </c>
    </row>
    <row r="946" spans="1:10" x14ac:dyDescent="0.3">
      <c r="A946" t="s">
        <v>1174</v>
      </c>
      <c r="B946" t="s">
        <v>291</v>
      </c>
      <c r="C946" t="s">
        <v>12</v>
      </c>
      <c r="D946" s="1">
        <v>45344</v>
      </c>
      <c r="E946" t="s">
        <v>49</v>
      </c>
      <c r="F946" t="s">
        <v>19</v>
      </c>
      <c r="G946">
        <v>15913.99</v>
      </c>
      <c r="H946">
        <v>12000</v>
      </c>
      <c r="I946">
        <v>3913.99</v>
      </c>
      <c r="J946">
        <v>24.594649</v>
      </c>
    </row>
    <row r="947" spans="1:10" x14ac:dyDescent="0.3">
      <c r="A947" t="s">
        <v>1175</v>
      </c>
      <c r="B947" t="s">
        <v>72</v>
      </c>
      <c r="C947" t="s">
        <v>64</v>
      </c>
      <c r="D947" s="1">
        <v>45418</v>
      </c>
      <c r="E947" t="s">
        <v>37</v>
      </c>
      <c r="F947" t="s">
        <v>32</v>
      </c>
      <c r="G947">
        <v>6358.34</v>
      </c>
      <c r="H947">
        <v>30000</v>
      </c>
      <c r="I947">
        <v>-23641.66</v>
      </c>
      <c r="J947">
        <v>-371.82126199999999</v>
      </c>
    </row>
    <row r="948" spans="1:10" x14ac:dyDescent="0.3">
      <c r="A948" t="s">
        <v>1176</v>
      </c>
      <c r="B948" t="s">
        <v>240</v>
      </c>
      <c r="C948" t="s">
        <v>64</v>
      </c>
      <c r="D948" s="1">
        <v>45298</v>
      </c>
      <c r="E948" t="s">
        <v>44</v>
      </c>
      <c r="F948" t="s">
        <v>14</v>
      </c>
      <c r="G948">
        <v>45951.360000000001</v>
      </c>
      <c r="H948">
        <v>500</v>
      </c>
      <c r="I948">
        <v>45451.360000000001</v>
      </c>
      <c r="J948">
        <v>98.911893000000006</v>
      </c>
    </row>
    <row r="949" spans="1:10" x14ac:dyDescent="0.3">
      <c r="A949" t="s">
        <v>1177</v>
      </c>
      <c r="B949" t="s">
        <v>204</v>
      </c>
      <c r="C949" t="s">
        <v>40</v>
      </c>
      <c r="D949" s="1">
        <v>45327</v>
      </c>
      <c r="E949" t="s">
        <v>49</v>
      </c>
      <c r="F949" t="s">
        <v>32</v>
      </c>
      <c r="G949">
        <v>17686.64</v>
      </c>
      <c r="H949">
        <v>30000</v>
      </c>
      <c r="I949">
        <v>-12313.36</v>
      </c>
      <c r="J949">
        <v>-69.619555000000005</v>
      </c>
    </row>
    <row r="950" spans="1:10" x14ac:dyDescent="0.3">
      <c r="A950" t="s">
        <v>1178</v>
      </c>
      <c r="B950" t="s">
        <v>261</v>
      </c>
      <c r="C950" t="s">
        <v>40</v>
      </c>
      <c r="D950" s="1">
        <v>45371</v>
      </c>
      <c r="E950" t="s">
        <v>18</v>
      </c>
      <c r="F950" t="s">
        <v>32</v>
      </c>
      <c r="G950">
        <v>6111.47</v>
      </c>
      <c r="H950">
        <v>30000</v>
      </c>
      <c r="I950">
        <v>-23888.53</v>
      </c>
      <c r="J950">
        <v>-390.88026300000001</v>
      </c>
    </row>
    <row r="951" spans="1:10" x14ac:dyDescent="0.3">
      <c r="A951" t="s">
        <v>1179</v>
      </c>
      <c r="B951" t="s">
        <v>66</v>
      </c>
      <c r="C951" t="s">
        <v>40</v>
      </c>
      <c r="D951" s="1">
        <v>45502</v>
      </c>
      <c r="E951" t="s">
        <v>31</v>
      </c>
      <c r="F951" t="s">
        <v>19</v>
      </c>
      <c r="G951">
        <v>1071.7</v>
      </c>
      <c r="H951">
        <v>12000</v>
      </c>
      <c r="I951">
        <v>-10928.3</v>
      </c>
      <c r="J951">
        <v>-1019.7163389999999</v>
      </c>
    </row>
    <row r="952" spans="1:10" x14ac:dyDescent="0.3">
      <c r="A952" t="s">
        <v>1180</v>
      </c>
      <c r="B952" t="s">
        <v>155</v>
      </c>
      <c r="C952" t="s">
        <v>40</v>
      </c>
      <c r="D952" s="1">
        <v>45344</v>
      </c>
      <c r="E952" t="s">
        <v>49</v>
      </c>
      <c r="F952" t="s">
        <v>28</v>
      </c>
      <c r="G952">
        <v>30168.959999999999</v>
      </c>
      <c r="H952">
        <v>2000</v>
      </c>
      <c r="I952">
        <v>28168.959999999999</v>
      </c>
      <c r="J952">
        <v>93.370670000000004</v>
      </c>
    </row>
    <row r="953" spans="1:10" x14ac:dyDescent="0.3">
      <c r="A953" t="s">
        <v>1181</v>
      </c>
      <c r="B953" t="s">
        <v>331</v>
      </c>
      <c r="C953" t="s">
        <v>12</v>
      </c>
      <c r="D953" s="1">
        <v>45461</v>
      </c>
      <c r="E953" t="s">
        <v>41</v>
      </c>
      <c r="F953" t="s">
        <v>19</v>
      </c>
      <c r="G953">
        <v>23290.46</v>
      </c>
      <c r="H953">
        <v>12000</v>
      </c>
      <c r="I953">
        <v>11290.46</v>
      </c>
      <c r="J953">
        <v>48.476757999999997</v>
      </c>
    </row>
    <row r="954" spans="1:10" x14ac:dyDescent="0.3">
      <c r="A954" t="s">
        <v>1182</v>
      </c>
      <c r="B954" t="s">
        <v>539</v>
      </c>
      <c r="C954" t="s">
        <v>64</v>
      </c>
      <c r="D954" s="1">
        <v>45611</v>
      </c>
      <c r="E954" t="s">
        <v>57</v>
      </c>
      <c r="F954" t="s">
        <v>14</v>
      </c>
      <c r="G954">
        <v>6879.84</v>
      </c>
      <c r="H954">
        <v>500</v>
      </c>
      <c r="I954">
        <v>6379.84</v>
      </c>
      <c r="J954">
        <v>92.732388999999998</v>
      </c>
    </row>
    <row r="955" spans="1:10" x14ac:dyDescent="0.3">
      <c r="A955" t="s">
        <v>1183</v>
      </c>
      <c r="B955" t="s">
        <v>52</v>
      </c>
      <c r="C955" t="s">
        <v>17</v>
      </c>
      <c r="D955" s="1">
        <v>45416</v>
      </c>
      <c r="E955" t="s">
        <v>37</v>
      </c>
      <c r="F955" t="s">
        <v>32</v>
      </c>
      <c r="G955">
        <v>22688.17</v>
      </c>
      <c r="H955">
        <v>30000</v>
      </c>
      <c r="I955">
        <v>-7311.83</v>
      </c>
      <c r="J955">
        <v>-32.227499999999999</v>
      </c>
    </row>
    <row r="956" spans="1:10" x14ac:dyDescent="0.3">
      <c r="A956" t="s">
        <v>1184</v>
      </c>
      <c r="B956" t="s">
        <v>657</v>
      </c>
      <c r="C956" t="s">
        <v>64</v>
      </c>
      <c r="D956" s="1">
        <v>45637</v>
      </c>
      <c r="E956" t="s">
        <v>95</v>
      </c>
      <c r="F956" t="s">
        <v>28</v>
      </c>
      <c r="G956">
        <v>27750.41</v>
      </c>
      <c r="H956">
        <v>2000</v>
      </c>
      <c r="I956">
        <v>25750.41</v>
      </c>
      <c r="J956">
        <v>92.792899000000006</v>
      </c>
    </row>
    <row r="957" spans="1:10" x14ac:dyDescent="0.3">
      <c r="A957" t="s">
        <v>1185</v>
      </c>
      <c r="B957" t="s">
        <v>152</v>
      </c>
      <c r="C957" t="s">
        <v>17</v>
      </c>
      <c r="D957" s="1">
        <v>45336</v>
      </c>
      <c r="E957" t="s">
        <v>49</v>
      </c>
      <c r="F957" t="s">
        <v>32</v>
      </c>
      <c r="G957">
        <v>3131.64</v>
      </c>
      <c r="H957">
        <v>30000</v>
      </c>
      <c r="I957">
        <v>-26868.36</v>
      </c>
      <c r="J957">
        <v>-857.964517</v>
      </c>
    </row>
    <row r="958" spans="1:10" x14ac:dyDescent="0.3">
      <c r="A958" t="s">
        <v>1186</v>
      </c>
      <c r="B958" t="s">
        <v>139</v>
      </c>
      <c r="C958" t="s">
        <v>17</v>
      </c>
      <c r="D958" s="1">
        <v>45470</v>
      </c>
      <c r="E958" t="s">
        <v>41</v>
      </c>
      <c r="F958" t="s">
        <v>28</v>
      </c>
      <c r="G958">
        <v>10317.950000000001</v>
      </c>
      <c r="H958">
        <v>2000</v>
      </c>
      <c r="I958">
        <v>8317.9500000000007</v>
      </c>
      <c r="J958">
        <v>80.616304999999997</v>
      </c>
    </row>
    <row r="959" spans="1:10" x14ac:dyDescent="0.3">
      <c r="A959" t="s">
        <v>1187</v>
      </c>
      <c r="B959" t="s">
        <v>901</v>
      </c>
      <c r="C959" t="s">
        <v>40</v>
      </c>
      <c r="D959" s="1">
        <v>45385</v>
      </c>
      <c r="E959" t="s">
        <v>27</v>
      </c>
      <c r="F959" t="s">
        <v>19</v>
      </c>
      <c r="G959">
        <v>42487.16</v>
      </c>
      <c r="H959">
        <v>12000</v>
      </c>
      <c r="I959">
        <v>30487.16</v>
      </c>
      <c r="J959">
        <v>71.756173000000004</v>
      </c>
    </row>
    <row r="960" spans="1:10" x14ac:dyDescent="0.3">
      <c r="A960" t="s">
        <v>1188</v>
      </c>
      <c r="B960" t="s">
        <v>261</v>
      </c>
      <c r="C960" t="s">
        <v>40</v>
      </c>
      <c r="D960" s="1">
        <v>45484</v>
      </c>
      <c r="E960" t="s">
        <v>31</v>
      </c>
      <c r="F960" t="s">
        <v>28</v>
      </c>
      <c r="G960">
        <v>45807.89</v>
      </c>
      <c r="H960">
        <v>2000</v>
      </c>
      <c r="I960">
        <v>43807.89</v>
      </c>
      <c r="J960">
        <v>95.633939999999996</v>
      </c>
    </row>
    <row r="961" spans="1:10" x14ac:dyDescent="0.3">
      <c r="A961" t="s">
        <v>1189</v>
      </c>
      <c r="B961" t="s">
        <v>539</v>
      </c>
      <c r="C961" t="s">
        <v>64</v>
      </c>
      <c r="D961" s="1">
        <v>45320</v>
      </c>
      <c r="E961" t="s">
        <v>44</v>
      </c>
      <c r="F961" t="s">
        <v>14</v>
      </c>
      <c r="G961">
        <v>26764.82</v>
      </c>
      <c r="H961">
        <v>500</v>
      </c>
      <c r="I961">
        <v>26264.82</v>
      </c>
      <c r="J961">
        <v>98.131876000000005</v>
      </c>
    </row>
    <row r="962" spans="1:10" x14ac:dyDescent="0.3">
      <c r="A962" t="s">
        <v>1190</v>
      </c>
      <c r="B962" t="s">
        <v>683</v>
      </c>
      <c r="C962" t="s">
        <v>40</v>
      </c>
      <c r="D962" s="1">
        <v>45321</v>
      </c>
      <c r="E962" t="s">
        <v>44</v>
      </c>
      <c r="F962" t="s">
        <v>28</v>
      </c>
      <c r="G962">
        <v>31293.59</v>
      </c>
      <c r="H962">
        <v>2000</v>
      </c>
      <c r="I962">
        <v>29293.59</v>
      </c>
      <c r="J962">
        <v>93.608914999999996</v>
      </c>
    </row>
    <row r="963" spans="1:10" x14ac:dyDescent="0.3">
      <c r="A963" t="s">
        <v>1191</v>
      </c>
      <c r="B963" t="s">
        <v>288</v>
      </c>
      <c r="C963" t="s">
        <v>17</v>
      </c>
      <c r="D963" s="1">
        <v>45561</v>
      </c>
      <c r="E963" t="s">
        <v>24</v>
      </c>
      <c r="F963" t="s">
        <v>14</v>
      </c>
      <c r="G963">
        <v>38690.019999999997</v>
      </c>
      <c r="H963">
        <v>500</v>
      </c>
      <c r="I963">
        <v>38190.019999999997</v>
      </c>
      <c r="J963">
        <v>98.707677000000004</v>
      </c>
    </row>
    <row r="964" spans="1:10" x14ac:dyDescent="0.3">
      <c r="A964" t="s">
        <v>1192</v>
      </c>
      <c r="B964" t="s">
        <v>328</v>
      </c>
      <c r="C964" t="s">
        <v>40</v>
      </c>
      <c r="D964" s="1">
        <v>45308</v>
      </c>
      <c r="E964" t="s">
        <v>44</v>
      </c>
      <c r="F964" t="s">
        <v>28</v>
      </c>
      <c r="G964">
        <v>47934.559999999998</v>
      </c>
      <c r="H964">
        <v>2000</v>
      </c>
      <c r="I964">
        <v>45934.559999999998</v>
      </c>
      <c r="J964">
        <v>95.827645000000004</v>
      </c>
    </row>
    <row r="965" spans="1:10" x14ac:dyDescent="0.3">
      <c r="A965" t="s">
        <v>1193</v>
      </c>
      <c r="B965" t="s">
        <v>557</v>
      </c>
      <c r="C965" t="s">
        <v>17</v>
      </c>
      <c r="D965" s="1">
        <v>45460</v>
      </c>
      <c r="E965" t="s">
        <v>41</v>
      </c>
      <c r="F965" t="s">
        <v>19</v>
      </c>
      <c r="G965">
        <v>36297.5</v>
      </c>
      <c r="H965">
        <v>12000</v>
      </c>
      <c r="I965">
        <v>24297.5</v>
      </c>
      <c r="J965">
        <v>66.939871999999994</v>
      </c>
    </row>
    <row r="966" spans="1:10" x14ac:dyDescent="0.3">
      <c r="A966" t="s">
        <v>1194</v>
      </c>
      <c r="B966" t="s">
        <v>690</v>
      </c>
      <c r="C966" t="s">
        <v>64</v>
      </c>
      <c r="D966" s="1">
        <v>45395</v>
      </c>
      <c r="E966" t="s">
        <v>27</v>
      </c>
      <c r="F966" t="s">
        <v>32</v>
      </c>
      <c r="G966">
        <v>25215.71</v>
      </c>
      <c r="H966">
        <v>30000</v>
      </c>
      <c r="I966">
        <v>-4784.29</v>
      </c>
      <c r="J966">
        <v>-18.973448999999999</v>
      </c>
    </row>
    <row r="967" spans="1:10" x14ac:dyDescent="0.3">
      <c r="A967" t="s">
        <v>1195</v>
      </c>
      <c r="B967" t="s">
        <v>356</v>
      </c>
      <c r="C967" t="s">
        <v>40</v>
      </c>
      <c r="D967" s="1">
        <v>45455</v>
      </c>
      <c r="E967" t="s">
        <v>41</v>
      </c>
      <c r="F967" t="s">
        <v>28</v>
      </c>
      <c r="G967">
        <v>7381.42</v>
      </c>
      <c r="H967">
        <v>2000</v>
      </c>
      <c r="I967">
        <v>5381.42</v>
      </c>
      <c r="J967">
        <v>72.904942000000005</v>
      </c>
    </row>
    <row r="968" spans="1:10" x14ac:dyDescent="0.3">
      <c r="A968" t="s">
        <v>1196</v>
      </c>
      <c r="B968" t="s">
        <v>78</v>
      </c>
      <c r="C968" t="s">
        <v>40</v>
      </c>
      <c r="D968" s="1">
        <v>45316</v>
      </c>
      <c r="E968" t="s">
        <v>44</v>
      </c>
      <c r="F968" t="s">
        <v>28</v>
      </c>
      <c r="G968">
        <v>44675.64</v>
      </c>
      <c r="H968">
        <v>2000</v>
      </c>
      <c r="I968">
        <v>42675.64</v>
      </c>
      <c r="J968">
        <v>95.523286999999996</v>
      </c>
    </row>
    <row r="969" spans="1:10" x14ac:dyDescent="0.3">
      <c r="A969" t="s">
        <v>1197</v>
      </c>
      <c r="B969" t="s">
        <v>21</v>
      </c>
      <c r="C969" t="s">
        <v>17</v>
      </c>
      <c r="D969" s="1">
        <v>45385</v>
      </c>
      <c r="E969" t="s">
        <v>27</v>
      </c>
      <c r="F969" t="s">
        <v>28</v>
      </c>
      <c r="G969">
        <v>37384.9</v>
      </c>
      <c r="H969">
        <v>2000</v>
      </c>
      <c r="I969">
        <v>35384.9</v>
      </c>
      <c r="J969">
        <v>94.650245999999996</v>
      </c>
    </row>
    <row r="970" spans="1:10" x14ac:dyDescent="0.3">
      <c r="A970" t="s">
        <v>1198</v>
      </c>
      <c r="B970" t="s">
        <v>505</v>
      </c>
      <c r="C970" t="s">
        <v>40</v>
      </c>
      <c r="D970" s="1">
        <v>45593</v>
      </c>
      <c r="E970" t="s">
        <v>13</v>
      </c>
      <c r="F970" t="s">
        <v>14</v>
      </c>
      <c r="G970">
        <v>21046.55</v>
      </c>
      <c r="H970">
        <v>500</v>
      </c>
      <c r="I970">
        <v>20546.55</v>
      </c>
      <c r="J970">
        <v>97.624313999999998</v>
      </c>
    </row>
    <row r="971" spans="1:10" x14ac:dyDescent="0.3">
      <c r="A971" t="s">
        <v>1199</v>
      </c>
      <c r="B971" t="s">
        <v>532</v>
      </c>
      <c r="C971" t="s">
        <v>12</v>
      </c>
      <c r="D971" s="1">
        <v>45483</v>
      </c>
      <c r="E971" t="s">
        <v>31</v>
      </c>
      <c r="F971" t="s">
        <v>19</v>
      </c>
      <c r="G971">
        <v>43633.13</v>
      </c>
      <c r="H971">
        <v>12000</v>
      </c>
      <c r="I971">
        <v>31633.13</v>
      </c>
      <c r="J971">
        <v>72.497962000000001</v>
      </c>
    </row>
    <row r="972" spans="1:10" x14ac:dyDescent="0.3">
      <c r="A972" t="s">
        <v>1200</v>
      </c>
      <c r="B972" t="s">
        <v>497</v>
      </c>
      <c r="C972" t="s">
        <v>64</v>
      </c>
      <c r="D972" s="1">
        <v>45584</v>
      </c>
      <c r="E972" t="s">
        <v>13</v>
      </c>
      <c r="F972" t="s">
        <v>14</v>
      </c>
      <c r="G972">
        <v>29063.35</v>
      </c>
      <c r="H972">
        <v>500</v>
      </c>
      <c r="I972">
        <v>28563.35</v>
      </c>
      <c r="J972">
        <v>98.279619999999994</v>
      </c>
    </row>
    <row r="973" spans="1:10" x14ac:dyDescent="0.3">
      <c r="A973" t="s">
        <v>1201</v>
      </c>
      <c r="B973" t="s">
        <v>92</v>
      </c>
      <c r="C973" t="s">
        <v>12</v>
      </c>
      <c r="D973" s="1">
        <v>45499</v>
      </c>
      <c r="E973" t="s">
        <v>31</v>
      </c>
      <c r="F973" t="s">
        <v>14</v>
      </c>
      <c r="G973">
        <v>50093.69</v>
      </c>
      <c r="H973">
        <v>500</v>
      </c>
      <c r="I973">
        <v>49593.69</v>
      </c>
      <c r="J973">
        <v>99.001869999999997</v>
      </c>
    </row>
    <row r="974" spans="1:10" x14ac:dyDescent="0.3">
      <c r="A974" t="s">
        <v>1202</v>
      </c>
      <c r="B974" t="s">
        <v>505</v>
      </c>
      <c r="C974" t="s">
        <v>40</v>
      </c>
      <c r="D974" s="1">
        <v>45358</v>
      </c>
      <c r="E974" t="s">
        <v>18</v>
      </c>
      <c r="F974" t="s">
        <v>28</v>
      </c>
      <c r="G974">
        <v>10306.879999999999</v>
      </c>
      <c r="H974">
        <v>2000</v>
      </c>
      <c r="I974">
        <v>8306.8799999999992</v>
      </c>
      <c r="J974">
        <v>80.595485999999994</v>
      </c>
    </row>
    <row r="975" spans="1:10" x14ac:dyDescent="0.3">
      <c r="A975" t="s">
        <v>1203</v>
      </c>
      <c r="B975" t="s">
        <v>428</v>
      </c>
      <c r="C975" t="s">
        <v>64</v>
      </c>
      <c r="D975" s="1">
        <v>45386</v>
      </c>
      <c r="E975" t="s">
        <v>27</v>
      </c>
      <c r="F975" t="s">
        <v>32</v>
      </c>
      <c r="G975">
        <v>14379.78</v>
      </c>
      <c r="H975">
        <v>30000</v>
      </c>
      <c r="I975">
        <v>-15620.22</v>
      </c>
      <c r="J975">
        <v>-108.626279</v>
      </c>
    </row>
    <row r="976" spans="1:10" x14ac:dyDescent="0.3">
      <c r="A976" t="s">
        <v>1204</v>
      </c>
      <c r="B976" t="s">
        <v>311</v>
      </c>
      <c r="C976" t="s">
        <v>64</v>
      </c>
      <c r="D976" s="1">
        <v>45541</v>
      </c>
      <c r="E976" t="s">
        <v>24</v>
      </c>
      <c r="F976" t="s">
        <v>28</v>
      </c>
      <c r="G976">
        <v>40103.629999999997</v>
      </c>
      <c r="H976">
        <v>2000</v>
      </c>
      <c r="I976">
        <v>38103.629999999997</v>
      </c>
      <c r="J976">
        <v>95.012919999999994</v>
      </c>
    </row>
    <row r="977" spans="1:10" x14ac:dyDescent="0.3">
      <c r="A977" t="s">
        <v>1205</v>
      </c>
      <c r="B977" t="s">
        <v>165</v>
      </c>
      <c r="C977" t="s">
        <v>17</v>
      </c>
      <c r="D977" s="1">
        <v>45544</v>
      </c>
      <c r="E977" t="s">
        <v>24</v>
      </c>
      <c r="F977" t="s">
        <v>14</v>
      </c>
      <c r="G977">
        <v>43070.84</v>
      </c>
      <c r="H977">
        <v>500</v>
      </c>
      <c r="I977">
        <v>42570.84</v>
      </c>
      <c r="J977">
        <v>98.839122000000003</v>
      </c>
    </row>
    <row r="978" spans="1:10" x14ac:dyDescent="0.3">
      <c r="A978" t="s">
        <v>1206</v>
      </c>
      <c r="B978" t="s">
        <v>257</v>
      </c>
      <c r="C978" t="s">
        <v>12</v>
      </c>
      <c r="D978" s="1">
        <v>45320</v>
      </c>
      <c r="E978" t="s">
        <v>44</v>
      </c>
      <c r="F978" t="s">
        <v>28</v>
      </c>
      <c r="G978">
        <v>18812.099999999999</v>
      </c>
      <c r="H978">
        <v>2000</v>
      </c>
      <c r="I978">
        <v>16812.099999999999</v>
      </c>
      <c r="J978">
        <v>89.368544999999997</v>
      </c>
    </row>
    <row r="979" spans="1:10" x14ac:dyDescent="0.3">
      <c r="A979" t="s">
        <v>1207</v>
      </c>
      <c r="B979" t="s">
        <v>193</v>
      </c>
      <c r="C979" t="s">
        <v>17</v>
      </c>
      <c r="D979" s="1">
        <v>45460</v>
      </c>
      <c r="E979" t="s">
        <v>41</v>
      </c>
      <c r="F979" t="s">
        <v>28</v>
      </c>
      <c r="G979">
        <v>16129.64</v>
      </c>
      <c r="H979">
        <v>2000</v>
      </c>
      <c r="I979">
        <v>14129.64</v>
      </c>
      <c r="J979">
        <v>87.600466999999995</v>
      </c>
    </row>
    <row r="980" spans="1:10" x14ac:dyDescent="0.3">
      <c r="A980" t="s">
        <v>1208</v>
      </c>
      <c r="B980" t="s">
        <v>34</v>
      </c>
      <c r="C980" t="s">
        <v>12</v>
      </c>
      <c r="D980" s="1">
        <v>45341</v>
      </c>
      <c r="E980" t="s">
        <v>49</v>
      </c>
      <c r="F980" t="s">
        <v>19</v>
      </c>
      <c r="G980">
        <v>4382.46</v>
      </c>
      <c r="H980">
        <v>12000</v>
      </c>
      <c r="I980">
        <v>-7617.54</v>
      </c>
      <c r="J980">
        <v>-173.818814</v>
      </c>
    </row>
    <row r="981" spans="1:10" x14ac:dyDescent="0.3">
      <c r="A981" t="s">
        <v>1209</v>
      </c>
      <c r="B981" t="s">
        <v>30</v>
      </c>
      <c r="C981" t="s">
        <v>12</v>
      </c>
      <c r="D981" s="1">
        <v>45561</v>
      </c>
      <c r="E981" t="s">
        <v>24</v>
      </c>
      <c r="F981" t="s">
        <v>14</v>
      </c>
      <c r="G981">
        <v>29129.52</v>
      </c>
      <c r="H981">
        <v>500</v>
      </c>
      <c r="I981">
        <v>28629.52</v>
      </c>
      <c r="J981">
        <v>98.283528000000004</v>
      </c>
    </row>
    <row r="982" spans="1:10" x14ac:dyDescent="0.3">
      <c r="A982" t="s">
        <v>1210</v>
      </c>
      <c r="B982" t="s">
        <v>174</v>
      </c>
      <c r="C982" t="s">
        <v>12</v>
      </c>
      <c r="D982" s="1">
        <v>45361</v>
      </c>
      <c r="E982" t="s">
        <v>18</v>
      </c>
      <c r="F982" t="s">
        <v>19</v>
      </c>
      <c r="G982">
        <v>35601.35</v>
      </c>
      <c r="H982">
        <v>12000</v>
      </c>
      <c r="I982">
        <v>23601.35</v>
      </c>
      <c r="J982">
        <v>66.293413000000001</v>
      </c>
    </row>
    <row r="983" spans="1:10" x14ac:dyDescent="0.3">
      <c r="A983" t="s">
        <v>1211</v>
      </c>
      <c r="B983" t="s">
        <v>557</v>
      </c>
      <c r="C983" t="s">
        <v>17</v>
      </c>
      <c r="D983" s="1">
        <v>45619</v>
      </c>
      <c r="E983" t="s">
        <v>57</v>
      </c>
      <c r="F983" t="s">
        <v>28</v>
      </c>
      <c r="G983">
        <v>18024.79</v>
      </c>
      <c r="H983">
        <v>2000</v>
      </c>
      <c r="I983">
        <v>16024.79</v>
      </c>
      <c r="J983">
        <v>88.904169999999993</v>
      </c>
    </row>
    <row r="984" spans="1:10" x14ac:dyDescent="0.3">
      <c r="A984" t="s">
        <v>1212</v>
      </c>
      <c r="B984" t="s">
        <v>78</v>
      </c>
      <c r="C984" t="s">
        <v>40</v>
      </c>
      <c r="D984" s="1">
        <v>45324</v>
      </c>
      <c r="E984" t="s">
        <v>49</v>
      </c>
      <c r="F984" t="s">
        <v>28</v>
      </c>
      <c r="G984">
        <v>19938.78</v>
      </c>
      <c r="H984">
        <v>2000</v>
      </c>
      <c r="I984">
        <v>17938.78</v>
      </c>
      <c r="J984">
        <v>89.969296</v>
      </c>
    </row>
    <row r="985" spans="1:10" x14ac:dyDescent="0.3">
      <c r="A985" t="s">
        <v>1213</v>
      </c>
      <c r="B985" t="s">
        <v>478</v>
      </c>
      <c r="C985" t="s">
        <v>12</v>
      </c>
      <c r="D985" s="1">
        <v>45522</v>
      </c>
      <c r="E985" t="s">
        <v>47</v>
      </c>
      <c r="F985" t="s">
        <v>19</v>
      </c>
      <c r="G985">
        <v>14182.44</v>
      </c>
      <c r="H985">
        <v>12000</v>
      </c>
      <c r="I985">
        <v>2182.44</v>
      </c>
      <c r="J985">
        <v>15.388325</v>
      </c>
    </row>
    <row r="986" spans="1:10" x14ac:dyDescent="0.3">
      <c r="A986" t="s">
        <v>1214</v>
      </c>
      <c r="B986" t="s">
        <v>177</v>
      </c>
      <c r="C986" t="s">
        <v>64</v>
      </c>
      <c r="D986" s="1">
        <v>45421</v>
      </c>
      <c r="E986" t="s">
        <v>37</v>
      </c>
      <c r="F986" t="s">
        <v>32</v>
      </c>
      <c r="G986">
        <v>8483.3799999999992</v>
      </c>
      <c r="H986">
        <v>30000</v>
      </c>
      <c r="I986">
        <v>-21516.62</v>
      </c>
      <c r="J986">
        <v>-253.632632</v>
      </c>
    </row>
    <row r="987" spans="1:10" x14ac:dyDescent="0.3">
      <c r="A987" t="s">
        <v>1215</v>
      </c>
      <c r="B987" t="s">
        <v>59</v>
      </c>
      <c r="C987" t="s">
        <v>40</v>
      </c>
      <c r="D987" s="1">
        <v>45648</v>
      </c>
      <c r="E987" t="s">
        <v>95</v>
      </c>
      <c r="F987" t="s">
        <v>19</v>
      </c>
      <c r="G987">
        <v>1158.73</v>
      </c>
      <c r="H987">
        <v>12000</v>
      </c>
      <c r="I987">
        <v>-10841.27</v>
      </c>
      <c r="J987">
        <v>-935.61658</v>
      </c>
    </row>
    <row r="988" spans="1:10" x14ac:dyDescent="0.3">
      <c r="A988" t="s">
        <v>1216</v>
      </c>
      <c r="B988" t="s">
        <v>351</v>
      </c>
      <c r="C988" t="s">
        <v>40</v>
      </c>
      <c r="D988" s="1">
        <v>45497</v>
      </c>
      <c r="E988" t="s">
        <v>31</v>
      </c>
      <c r="F988" t="s">
        <v>19</v>
      </c>
      <c r="G988">
        <v>32168.48</v>
      </c>
      <c r="H988">
        <v>12000</v>
      </c>
      <c r="I988">
        <v>20168.48</v>
      </c>
      <c r="J988">
        <v>62.696402999999997</v>
      </c>
    </row>
    <row r="989" spans="1:10" x14ac:dyDescent="0.3">
      <c r="A989" t="s">
        <v>1217</v>
      </c>
      <c r="B989" t="s">
        <v>257</v>
      </c>
      <c r="C989" t="s">
        <v>12</v>
      </c>
      <c r="D989" s="1">
        <v>45464</v>
      </c>
      <c r="E989" t="s">
        <v>41</v>
      </c>
      <c r="F989" t="s">
        <v>19</v>
      </c>
      <c r="G989">
        <v>1433.7</v>
      </c>
      <c r="H989">
        <v>12000</v>
      </c>
      <c r="I989">
        <v>-10566.3</v>
      </c>
      <c r="J989">
        <v>-736.99518699999999</v>
      </c>
    </row>
    <row r="990" spans="1:10" x14ac:dyDescent="0.3">
      <c r="A990" t="s">
        <v>1218</v>
      </c>
      <c r="B990" t="s">
        <v>105</v>
      </c>
      <c r="C990" t="s">
        <v>64</v>
      </c>
      <c r="D990" s="1">
        <v>45528</v>
      </c>
      <c r="E990" t="s">
        <v>47</v>
      </c>
      <c r="F990" t="s">
        <v>14</v>
      </c>
      <c r="G990">
        <v>32272.799999999999</v>
      </c>
      <c r="H990">
        <v>500</v>
      </c>
      <c r="I990">
        <v>31772.799999999999</v>
      </c>
      <c r="J990">
        <v>98.450708000000006</v>
      </c>
    </row>
    <row r="991" spans="1:10" x14ac:dyDescent="0.3">
      <c r="A991" t="s">
        <v>1219</v>
      </c>
      <c r="B991" t="s">
        <v>174</v>
      </c>
      <c r="C991" t="s">
        <v>12</v>
      </c>
      <c r="D991" s="1">
        <v>45611</v>
      </c>
      <c r="E991" t="s">
        <v>57</v>
      </c>
      <c r="F991" t="s">
        <v>28</v>
      </c>
      <c r="G991">
        <v>38487.65</v>
      </c>
      <c r="H991">
        <v>2000</v>
      </c>
      <c r="I991">
        <v>36487.65</v>
      </c>
      <c r="J991">
        <v>94.803528</v>
      </c>
    </row>
    <row r="992" spans="1:10" x14ac:dyDescent="0.3">
      <c r="A992" t="s">
        <v>1220</v>
      </c>
      <c r="B992" t="s">
        <v>72</v>
      </c>
      <c r="C992" t="s">
        <v>64</v>
      </c>
      <c r="D992" s="1">
        <v>45486</v>
      </c>
      <c r="E992" t="s">
        <v>31</v>
      </c>
      <c r="F992" t="s">
        <v>14</v>
      </c>
      <c r="G992">
        <v>11500.24</v>
      </c>
      <c r="H992">
        <v>500</v>
      </c>
      <c r="I992">
        <v>11000.24</v>
      </c>
      <c r="J992">
        <v>95.652265</v>
      </c>
    </row>
    <row r="993" spans="1:10" x14ac:dyDescent="0.3">
      <c r="A993" t="s">
        <v>1221</v>
      </c>
      <c r="B993" t="s">
        <v>466</v>
      </c>
      <c r="C993" t="s">
        <v>40</v>
      </c>
      <c r="D993" s="1">
        <v>45383</v>
      </c>
      <c r="E993" t="s">
        <v>27</v>
      </c>
      <c r="F993" t="s">
        <v>32</v>
      </c>
      <c r="G993">
        <v>44855.83</v>
      </c>
      <c r="H993">
        <v>30000</v>
      </c>
      <c r="I993">
        <v>14855.83</v>
      </c>
      <c r="J993">
        <v>33.119062</v>
      </c>
    </row>
    <row r="994" spans="1:10" x14ac:dyDescent="0.3">
      <c r="A994" t="s">
        <v>1222</v>
      </c>
      <c r="B994" t="s">
        <v>336</v>
      </c>
      <c r="C994" t="s">
        <v>12</v>
      </c>
      <c r="D994" s="1">
        <v>45609</v>
      </c>
      <c r="E994" t="s">
        <v>57</v>
      </c>
      <c r="F994" t="s">
        <v>28</v>
      </c>
      <c r="G994">
        <v>2291.98</v>
      </c>
      <c r="H994">
        <v>2000</v>
      </c>
      <c r="I994">
        <v>291.98</v>
      </c>
      <c r="J994">
        <v>12.739204000000001</v>
      </c>
    </row>
    <row r="995" spans="1:10" x14ac:dyDescent="0.3">
      <c r="A995" t="s">
        <v>1223</v>
      </c>
      <c r="B995" t="s">
        <v>215</v>
      </c>
      <c r="C995" t="s">
        <v>17</v>
      </c>
      <c r="D995" s="1">
        <v>45477</v>
      </c>
      <c r="E995" t="s">
        <v>31</v>
      </c>
      <c r="F995" t="s">
        <v>14</v>
      </c>
      <c r="G995">
        <v>15200.6</v>
      </c>
      <c r="H995">
        <v>500</v>
      </c>
      <c r="I995">
        <v>14700.6</v>
      </c>
      <c r="J995">
        <v>96.710656</v>
      </c>
    </row>
    <row r="996" spans="1:10" x14ac:dyDescent="0.3">
      <c r="A996" t="s">
        <v>1224</v>
      </c>
      <c r="B996" t="s">
        <v>306</v>
      </c>
      <c r="C996" t="s">
        <v>12</v>
      </c>
      <c r="D996" s="1">
        <v>45430</v>
      </c>
      <c r="E996" t="s">
        <v>37</v>
      </c>
      <c r="F996" t="s">
        <v>14</v>
      </c>
      <c r="G996">
        <v>48439.37</v>
      </c>
      <c r="H996">
        <v>500</v>
      </c>
      <c r="I996">
        <v>47939.37</v>
      </c>
      <c r="J996">
        <v>98.967782</v>
      </c>
    </row>
    <row r="997" spans="1:10" x14ac:dyDescent="0.3">
      <c r="A997" t="s">
        <v>1225</v>
      </c>
      <c r="B997" t="s">
        <v>334</v>
      </c>
      <c r="C997" t="s">
        <v>17</v>
      </c>
      <c r="D997" s="1">
        <v>45307</v>
      </c>
      <c r="E997" t="s">
        <v>44</v>
      </c>
      <c r="F997" t="s">
        <v>14</v>
      </c>
      <c r="G997">
        <v>38831.35</v>
      </c>
      <c r="H997">
        <v>500</v>
      </c>
      <c r="I997">
        <v>38331.35</v>
      </c>
      <c r="J997">
        <v>98.712380999999993</v>
      </c>
    </row>
    <row r="998" spans="1:10" x14ac:dyDescent="0.3">
      <c r="A998" t="s">
        <v>1226</v>
      </c>
      <c r="B998" t="s">
        <v>186</v>
      </c>
      <c r="C998" t="s">
        <v>64</v>
      </c>
      <c r="D998" s="1">
        <v>45450</v>
      </c>
      <c r="E998" t="s">
        <v>41</v>
      </c>
      <c r="F998" t="s">
        <v>28</v>
      </c>
      <c r="G998">
        <v>39975.86</v>
      </c>
      <c r="H998">
        <v>2000</v>
      </c>
      <c r="I998">
        <v>37975.86</v>
      </c>
      <c r="J998">
        <v>94.996981000000005</v>
      </c>
    </row>
    <row r="999" spans="1:10" x14ac:dyDescent="0.3">
      <c r="A999" t="s">
        <v>1227</v>
      </c>
      <c r="B999" t="s">
        <v>90</v>
      </c>
      <c r="C999" t="s">
        <v>12</v>
      </c>
      <c r="D999" s="1">
        <v>45350</v>
      </c>
      <c r="E999" t="s">
        <v>49</v>
      </c>
      <c r="F999" t="s">
        <v>28</v>
      </c>
      <c r="G999">
        <v>12873.86</v>
      </c>
      <c r="H999">
        <v>2000</v>
      </c>
      <c r="I999">
        <v>10873.86</v>
      </c>
      <c r="J999">
        <v>84.464644000000007</v>
      </c>
    </row>
    <row r="1000" spans="1:10" x14ac:dyDescent="0.3">
      <c r="A1000" t="s">
        <v>1228</v>
      </c>
      <c r="B1000" t="s">
        <v>30</v>
      </c>
      <c r="C1000" t="s">
        <v>12</v>
      </c>
      <c r="D1000" s="1">
        <v>45456</v>
      </c>
      <c r="E1000" t="s">
        <v>41</v>
      </c>
      <c r="F1000" t="s">
        <v>28</v>
      </c>
      <c r="G1000">
        <v>9312.81</v>
      </c>
      <c r="H1000">
        <v>2000</v>
      </c>
      <c r="I1000">
        <v>7312.81</v>
      </c>
      <c r="J1000">
        <v>78.524204999999995</v>
      </c>
    </row>
    <row r="1001" spans="1:10" x14ac:dyDescent="0.3">
      <c r="A1001" t="s">
        <v>1229</v>
      </c>
      <c r="B1001" t="s">
        <v>179</v>
      </c>
      <c r="C1001" t="s">
        <v>12</v>
      </c>
      <c r="D1001" s="1">
        <v>45428</v>
      </c>
      <c r="E1001" t="s">
        <v>37</v>
      </c>
      <c r="F1001" t="s">
        <v>14</v>
      </c>
      <c r="G1001">
        <v>42542.1</v>
      </c>
      <c r="H1001">
        <v>500</v>
      </c>
      <c r="I1001">
        <v>42042.1</v>
      </c>
      <c r="J1001">
        <v>98.824693999999994</v>
      </c>
    </row>
  </sheetData>
  <autoFilter ref="A1:J1001" xr:uid="{4A592F1C-C5DC-493B-A906-1B40E29D52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C245-944E-4294-A95F-50D0B8FFC0D2}">
  <dimension ref="A2:G172"/>
  <sheetViews>
    <sheetView topLeftCell="A6" workbookViewId="0">
      <selection activeCell="N123" sqref="N123"/>
    </sheetView>
  </sheetViews>
  <sheetFormatPr defaultRowHeight="14.4" x14ac:dyDescent="0.3"/>
  <cols>
    <col min="1" max="2" width="16" bestFit="1" customWidth="1"/>
    <col min="3" max="3" width="11" bestFit="1" customWidth="1"/>
    <col min="4" max="4" width="10.5546875" bestFit="1" customWidth="1"/>
    <col min="5" max="5" width="15.33203125" bestFit="1" customWidth="1"/>
    <col min="6" max="6" width="21.109375" bestFit="1" customWidth="1"/>
    <col min="7" max="7" width="16.5546875" bestFit="1" customWidth="1"/>
  </cols>
  <sheetData>
    <row r="2" spans="1:4" ht="21" customHeight="1" x14ac:dyDescent="0.3">
      <c r="B2" s="2" t="s">
        <v>1230</v>
      </c>
      <c r="C2" s="12">
        <f>SUM(raw_data!G2:G1001)</f>
        <v>25801590.230000008</v>
      </c>
      <c r="D2" s="12"/>
    </row>
    <row r="3" spans="1:4" ht="21" customHeight="1" x14ac:dyDescent="0.3">
      <c r="B3" s="2" t="s">
        <v>1231</v>
      </c>
      <c r="C3" s="12">
        <f>SUM(raw_data!I2:I1001)</f>
        <v>15437590.229999997</v>
      </c>
      <c r="D3" s="12"/>
    </row>
    <row r="4" spans="1:4" ht="21" customHeight="1" x14ac:dyDescent="0.3">
      <c r="B4" s="2" t="s">
        <v>1232</v>
      </c>
      <c r="C4" s="12">
        <f>COUNTA(raw_data!A2:A1001)</f>
        <v>1000</v>
      </c>
      <c r="D4" s="12"/>
    </row>
    <row r="5" spans="1:4" ht="21" customHeight="1" x14ac:dyDescent="0.3">
      <c r="B5" s="2" t="s">
        <v>1233</v>
      </c>
      <c r="C5" s="12">
        <f>SUMPRODUCT(1/COUNTIF(raw_data!B2:B1001,raw_data!B2:B1001))</f>
        <v>199.99999999999878</v>
      </c>
      <c r="D5" s="12"/>
    </row>
    <row r="6" spans="1:4" ht="21" customHeight="1" x14ac:dyDescent="0.3">
      <c r="B6" s="2" t="s">
        <v>1234</v>
      </c>
      <c r="C6" s="13">
        <f>C3/C2</f>
        <v>0.59831933196312881</v>
      </c>
      <c r="D6" s="13"/>
    </row>
    <row r="7" spans="1:4" ht="21" customHeight="1" x14ac:dyDescent="0.3">
      <c r="B7" s="2" t="s">
        <v>1235</v>
      </c>
      <c r="C7" s="14">
        <f>C2/C4</f>
        <v>25801.590230000009</v>
      </c>
      <c r="D7" s="14"/>
    </row>
    <row r="14" spans="1:4" x14ac:dyDescent="0.3">
      <c r="A14" s="3" t="s">
        <v>1236</v>
      </c>
      <c r="B14" t="s">
        <v>1238</v>
      </c>
    </row>
    <row r="15" spans="1:4" x14ac:dyDescent="0.3">
      <c r="A15" s="4" t="s">
        <v>44</v>
      </c>
      <c r="B15" s="5">
        <v>2185316.25</v>
      </c>
    </row>
    <row r="16" spans="1:4" x14ac:dyDescent="0.3">
      <c r="A16" s="4" t="s">
        <v>49</v>
      </c>
      <c r="B16" s="5">
        <v>2431498.629999999</v>
      </c>
    </row>
    <row r="17" spans="1:2" x14ac:dyDescent="0.3">
      <c r="A17" s="4" t="s">
        <v>18</v>
      </c>
      <c r="B17" s="5">
        <v>1982690.8699999996</v>
      </c>
    </row>
    <row r="18" spans="1:2" x14ac:dyDescent="0.3">
      <c r="A18" s="4" t="s">
        <v>27</v>
      </c>
      <c r="B18" s="5">
        <v>2289663.6300000004</v>
      </c>
    </row>
    <row r="19" spans="1:2" x14ac:dyDescent="0.3">
      <c r="A19" s="4" t="s">
        <v>37</v>
      </c>
      <c r="B19" s="5">
        <v>2134086.5199999996</v>
      </c>
    </row>
    <row r="20" spans="1:2" x14ac:dyDescent="0.3">
      <c r="A20" s="4" t="s">
        <v>41</v>
      </c>
      <c r="B20" s="5">
        <v>1744984.8199999998</v>
      </c>
    </row>
    <row r="21" spans="1:2" x14ac:dyDescent="0.3">
      <c r="A21" s="4" t="s">
        <v>31</v>
      </c>
      <c r="B21" s="5">
        <v>2468670.2600000012</v>
      </c>
    </row>
    <row r="22" spans="1:2" x14ac:dyDescent="0.3">
      <c r="A22" s="4" t="s">
        <v>47</v>
      </c>
      <c r="B22" s="5">
        <v>2175502.6500000008</v>
      </c>
    </row>
    <row r="23" spans="1:2" x14ac:dyDescent="0.3">
      <c r="A23" s="4" t="s">
        <v>24</v>
      </c>
      <c r="B23" s="5">
        <v>2484662.1300000004</v>
      </c>
    </row>
    <row r="24" spans="1:2" x14ac:dyDescent="0.3">
      <c r="A24" s="4" t="s">
        <v>13</v>
      </c>
      <c r="B24" s="5">
        <v>1930146.38</v>
      </c>
    </row>
    <row r="25" spans="1:2" x14ac:dyDescent="0.3">
      <c r="A25" s="4" t="s">
        <v>57</v>
      </c>
      <c r="B25" s="5">
        <v>2100717.37</v>
      </c>
    </row>
    <row r="26" spans="1:2" x14ac:dyDescent="0.3">
      <c r="A26" s="4" t="s">
        <v>95</v>
      </c>
      <c r="B26" s="5">
        <v>1873650.7200000002</v>
      </c>
    </row>
    <row r="27" spans="1:2" x14ac:dyDescent="0.3">
      <c r="A27" s="4" t="s">
        <v>1237</v>
      </c>
      <c r="B27" s="5">
        <v>25801590.23</v>
      </c>
    </row>
    <row r="35" spans="1:2" x14ac:dyDescent="0.3">
      <c r="A35" s="3" t="s">
        <v>1236</v>
      </c>
      <c r="B35" t="s">
        <v>1238</v>
      </c>
    </row>
    <row r="36" spans="1:2" x14ac:dyDescent="0.3">
      <c r="A36" s="4" t="s">
        <v>64</v>
      </c>
      <c r="B36" s="5">
        <v>7538160.2899999963</v>
      </c>
    </row>
    <row r="37" spans="1:2" x14ac:dyDescent="0.3">
      <c r="A37" s="4" t="s">
        <v>40</v>
      </c>
      <c r="B37" s="5">
        <v>7436611.8700000001</v>
      </c>
    </row>
    <row r="38" spans="1:2" x14ac:dyDescent="0.3">
      <c r="A38" s="4" t="s">
        <v>17</v>
      </c>
      <c r="B38" s="5">
        <v>5335026.43</v>
      </c>
    </row>
    <row r="39" spans="1:2" x14ac:dyDescent="0.3">
      <c r="A39" s="4" t="s">
        <v>12</v>
      </c>
      <c r="B39" s="5">
        <v>5491791.6400000015</v>
      </c>
    </row>
    <row r="40" spans="1:2" x14ac:dyDescent="0.3">
      <c r="A40" s="4" t="s">
        <v>1237</v>
      </c>
      <c r="B40" s="5">
        <v>25801590.229999997</v>
      </c>
    </row>
    <row r="50" spans="1:2" x14ac:dyDescent="0.3">
      <c r="A50" s="3" t="s">
        <v>1236</v>
      </c>
      <c r="B50" t="s">
        <v>1239</v>
      </c>
    </row>
    <row r="51" spans="1:2" x14ac:dyDescent="0.3">
      <c r="A51" s="4" t="s">
        <v>28</v>
      </c>
      <c r="B51" s="5">
        <v>6792040.1499999976</v>
      </c>
    </row>
    <row r="52" spans="1:2" x14ac:dyDescent="0.3">
      <c r="A52" s="4" t="s">
        <v>32</v>
      </c>
      <c r="B52" s="5">
        <v>-1252793.1800000002</v>
      </c>
    </row>
    <row r="53" spans="1:2" x14ac:dyDescent="0.3">
      <c r="A53" s="4" t="s">
        <v>19</v>
      </c>
      <c r="B53" s="5">
        <v>3537065.9799999995</v>
      </c>
    </row>
    <row r="54" spans="1:2" x14ac:dyDescent="0.3">
      <c r="A54" s="4" t="s">
        <v>14</v>
      </c>
      <c r="B54" s="5">
        <v>6361277.2799999993</v>
      </c>
    </row>
    <row r="55" spans="1:2" x14ac:dyDescent="0.3">
      <c r="A55" s="4" t="s">
        <v>1237</v>
      </c>
      <c r="B55" s="5">
        <v>15437590.229999995</v>
      </c>
    </row>
    <row r="65" spans="1:2" x14ac:dyDescent="0.3">
      <c r="A65" s="3" t="s">
        <v>1</v>
      </c>
      <c r="B65" t="s">
        <v>1240</v>
      </c>
    </row>
    <row r="67" spans="1:2" x14ac:dyDescent="0.3">
      <c r="A67" t="s">
        <v>1241</v>
      </c>
    </row>
    <row r="68" spans="1:2" x14ac:dyDescent="0.3">
      <c r="A68" s="6">
        <v>1000</v>
      </c>
    </row>
    <row r="84" spans="1:7" x14ac:dyDescent="0.3">
      <c r="A84" s="3" t="s">
        <v>1236</v>
      </c>
      <c r="B84" t="s">
        <v>1238</v>
      </c>
      <c r="E84" s="8" t="s">
        <v>1236</v>
      </c>
      <c r="F84" s="8" t="s">
        <v>1238</v>
      </c>
      <c r="G84" s="8" t="s">
        <v>1242</v>
      </c>
    </row>
    <row r="85" spans="1:7" x14ac:dyDescent="0.3">
      <c r="A85" s="4" t="s">
        <v>95</v>
      </c>
      <c r="B85" s="5">
        <v>1873650.7200000002</v>
      </c>
      <c r="C85" s="7"/>
      <c r="E85" s="8" t="s">
        <v>44</v>
      </c>
      <c r="F85" s="9">
        <v>2185316.25</v>
      </c>
      <c r="G85" s="8"/>
    </row>
    <row r="86" spans="1:7" x14ac:dyDescent="0.3">
      <c r="A86" s="4" t="s">
        <v>57</v>
      </c>
      <c r="B86" s="5">
        <v>2100717.37</v>
      </c>
      <c r="C86" s="7"/>
      <c r="E86" s="8" t="s">
        <v>49</v>
      </c>
      <c r="F86" s="9">
        <v>2431498.629999999</v>
      </c>
      <c r="G86" s="10">
        <v>0.1126529764284684</v>
      </c>
    </row>
    <row r="87" spans="1:7" x14ac:dyDescent="0.3">
      <c r="A87" s="4" t="s">
        <v>13</v>
      </c>
      <c r="B87" s="5">
        <v>1930146.38</v>
      </c>
      <c r="C87" s="7"/>
      <c r="E87" s="8" t="s">
        <v>18</v>
      </c>
      <c r="F87" s="9">
        <v>1982690.8699999996</v>
      </c>
      <c r="G87" s="10">
        <v>-0.18458071679028645</v>
      </c>
    </row>
    <row r="88" spans="1:7" x14ac:dyDescent="0.3">
      <c r="A88" s="4" t="s">
        <v>24</v>
      </c>
      <c r="B88" s="5">
        <v>2484662.1300000004</v>
      </c>
      <c r="C88" s="7"/>
      <c r="E88" s="8" t="s">
        <v>27</v>
      </c>
      <c r="F88" s="9">
        <v>2289663.6300000004</v>
      </c>
      <c r="G88" s="10">
        <v>0.15482633457630274</v>
      </c>
    </row>
    <row r="89" spans="1:7" x14ac:dyDescent="0.3">
      <c r="A89" s="4" t="s">
        <v>47</v>
      </c>
      <c r="B89" s="5">
        <v>2175502.6500000008</v>
      </c>
      <c r="C89" s="7"/>
      <c r="E89" s="8" t="s">
        <v>37</v>
      </c>
      <c r="F89" s="9">
        <v>2134086.5199999996</v>
      </c>
      <c r="G89" s="10">
        <v>-6.794758320024534E-2</v>
      </c>
    </row>
    <row r="90" spans="1:7" x14ac:dyDescent="0.3">
      <c r="A90" s="4" t="s">
        <v>31</v>
      </c>
      <c r="B90" s="5">
        <v>2468670.2600000012</v>
      </c>
      <c r="C90" s="7"/>
      <c r="E90" s="8" t="s">
        <v>41</v>
      </c>
      <c r="F90" s="9">
        <v>1744984.8199999998</v>
      </c>
      <c r="G90" s="10">
        <v>-0.18232705017039319</v>
      </c>
    </row>
    <row r="91" spans="1:7" x14ac:dyDescent="0.3">
      <c r="A91" s="4" t="s">
        <v>41</v>
      </c>
      <c r="B91" s="5">
        <v>1744984.8199999998</v>
      </c>
      <c r="C91" s="7"/>
      <c r="E91" s="8" t="s">
        <v>31</v>
      </c>
      <c r="F91" s="9">
        <v>2468670.2600000012</v>
      </c>
      <c r="G91" s="10">
        <v>0.41472305759083988</v>
      </c>
    </row>
    <row r="92" spans="1:7" x14ac:dyDescent="0.3">
      <c r="A92" s="4" t="s">
        <v>37</v>
      </c>
      <c r="B92" s="5">
        <v>2134086.5199999996</v>
      </c>
      <c r="C92" s="7"/>
      <c r="E92" s="8" t="s">
        <v>47</v>
      </c>
      <c r="F92" s="9">
        <v>2175502.6500000008</v>
      </c>
      <c r="G92" s="10">
        <v>-0.11875527272726986</v>
      </c>
    </row>
    <row r="93" spans="1:7" x14ac:dyDescent="0.3">
      <c r="A93" s="4" t="s">
        <v>27</v>
      </c>
      <c r="B93" s="5">
        <v>2289663.6300000004</v>
      </c>
      <c r="C93" s="7"/>
      <c r="E93" s="8" t="s">
        <v>24</v>
      </c>
      <c r="F93" s="9">
        <v>2484662.1300000004</v>
      </c>
      <c r="G93" s="10">
        <v>0.1421094476717826</v>
      </c>
    </row>
    <row r="94" spans="1:7" x14ac:dyDescent="0.3">
      <c r="A94" s="4" t="s">
        <v>18</v>
      </c>
      <c r="B94" s="5">
        <v>1982690.8699999996</v>
      </c>
      <c r="C94" s="7"/>
      <c r="E94" s="8" t="s">
        <v>13</v>
      </c>
      <c r="F94" s="9">
        <v>1930146.38</v>
      </c>
      <c r="G94" s="10">
        <v>-0.22317551481335629</v>
      </c>
    </row>
    <row r="95" spans="1:7" x14ac:dyDescent="0.3">
      <c r="A95" s="4" t="s">
        <v>49</v>
      </c>
      <c r="B95" s="5">
        <v>2431498.629999999</v>
      </c>
      <c r="C95" s="7"/>
      <c r="E95" s="8" t="s">
        <v>57</v>
      </c>
      <c r="F95" s="9">
        <v>2100717.37</v>
      </c>
      <c r="G95" s="10">
        <v>8.8372048756219332E-2</v>
      </c>
    </row>
    <row r="96" spans="1:7" x14ac:dyDescent="0.3">
      <c r="A96" s="4" t="s">
        <v>44</v>
      </c>
      <c r="B96" s="5">
        <v>2185316.25</v>
      </c>
      <c r="E96" s="8" t="s">
        <v>95</v>
      </c>
      <c r="F96" s="9">
        <v>1873650.7200000002</v>
      </c>
      <c r="G96" s="10">
        <v>-0.10809005211395947</v>
      </c>
    </row>
    <row r="97" spans="1:6" x14ac:dyDescent="0.3">
      <c r="A97" s="4" t="s">
        <v>1237</v>
      </c>
      <c r="B97" s="5">
        <v>25801590.23</v>
      </c>
    </row>
    <row r="107" spans="1:6" x14ac:dyDescent="0.3">
      <c r="A107" s="3" t="s">
        <v>1236</v>
      </c>
      <c r="B107" t="s">
        <v>1239</v>
      </c>
      <c r="D107" s="8" t="s">
        <v>1236</v>
      </c>
      <c r="E107" s="8" t="s">
        <v>1239</v>
      </c>
      <c r="F107" s="8" t="s">
        <v>1243</v>
      </c>
    </row>
    <row r="108" spans="1:6" x14ac:dyDescent="0.3">
      <c r="A108" s="4" t="s">
        <v>95</v>
      </c>
      <c r="B108" s="5">
        <v>947650.71999999986</v>
      </c>
      <c r="D108" s="8" t="s">
        <v>44</v>
      </c>
      <c r="E108" s="9">
        <v>1327316.2500000002</v>
      </c>
      <c r="F108" s="10"/>
    </row>
    <row r="109" spans="1:6" x14ac:dyDescent="0.3">
      <c r="A109" s="4" t="s">
        <v>57</v>
      </c>
      <c r="B109" s="5">
        <v>1233217.3700000001</v>
      </c>
      <c r="D109" s="8" t="s">
        <v>49</v>
      </c>
      <c r="E109" s="9">
        <v>1443498.6299999997</v>
      </c>
      <c r="F109" s="10">
        <v>8.7531799599379123E-2</v>
      </c>
    </row>
    <row r="110" spans="1:6" x14ac:dyDescent="0.3">
      <c r="A110" s="4" t="s">
        <v>13</v>
      </c>
      <c r="B110" s="5">
        <v>1146646.3800000001</v>
      </c>
      <c r="D110" s="8" t="s">
        <v>18</v>
      </c>
      <c r="E110" s="9">
        <v>1318190.8699999996</v>
      </c>
      <c r="F110" s="10">
        <v>-8.6808367805655651E-2</v>
      </c>
    </row>
    <row r="111" spans="1:6" x14ac:dyDescent="0.3">
      <c r="A111" s="4" t="s">
        <v>24</v>
      </c>
      <c r="B111" s="5">
        <v>1499662.1300000001</v>
      </c>
      <c r="D111" s="8" t="s">
        <v>27</v>
      </c>
      <c r="E111" s="9">
        <v>1326163.6300000001</v>
      </c>
      <c r="F111" s="10">
        <v>6.0482591568855864E-3</v>
      </c>
    </row>
    <row r="112" spans="1:6" x14ac:dyDescent="0.3">
      <c r="A112" s="4" t="s">
        <v>47</v>
      </c>
      <c r="B112" s="5">
        <v>1360002.6500000001</v>
      </c>
      <c r="D112" s="8" t="s">
        <v>37</v>
      </c>
      <c r="E112" s="9">
        <v>1314586.5200000003</v>
      </c>
      <c r="F112" s="10">
        <v>-8.7297749222694856E-3</v>
      </c>
    </row>
    <row r="113" spans="1:6" x14ac:dyDescent="0.3">
      <c r="A113" s="4" t="s">
        <v>31</v>
      </c>
      <c r="B113" s="5">
        <v>1496170.2599999998</v>
      </c>
      <c r="D113" s="8" t="s">
        <v>41</v>
      </c>
      <c r="E113" s="9">
        <v>1024484.8200000001</v>
      </c>
      <c r="F113" s="10">
        <v>-0.22067904667088792</v>
      </c>
    </row>
    <row r="114" spans="1:6" x14ac:dyDescent="0.3">
      <c r="A114" s="4" t="s">
        <v>41</v>
      </c>
      <c r="B114" s="5">
        <v>1024484.8200000001</v>
      </c>
      <c r="D114" s="8" t="s">
        <v>31</v>
      </c>
      <c r="E114" s="9">
        <v>1496170.2599999998</v>
      </c>
      <c r="F114" s="10">
        <v>0.46041232704648538</v>
      </c>
    </row>
    <row r="115" spans="1:6" x14ac:dyDescent="0.3">
      <c r="A115" s="4" t="s">
        <v>37</v>
      </c>
      <c r="B115" s="5">
        <v>1314586.5200000003</v>
      </c>
      <c r="D115" s="8" t="s">
        <v>47</v>
      </c>
      <c r="E115" s="9">
        <v>1360002.6500000001</v>
      </c>
      <c r="F115" s="10">
        <v>-9.1010771728613063E-2</v>
      </c>
    </row>
    <row r="116" spans="1:6" x14ac:dyDescent="0.3">
      <c r="A116" s="4" t="s">
        <v>27</v>
      </c>
      <c r="B116" s="5">
        <v>1326163.6300000001</v>
      </c>
      <c r="D116" s="8" t="s">
        <v>24</v>
      </c>
      <c r="E116" s="9">
        <v>1499662.1300000001</v>
      </c>
      <c r="F116" s="10">
        <v>0.10269059402200427</v>
      </c>
    </row>
    <row r="117" spans="1:6" x14ac:dyDescent="0.3">
      <c r="A117" s="4" t="s">
        <v>18</v>
      </c>
      <c r="B117" s="5">
        <v>1318190.8699999996</v>
      </c>
      <c r="D117" s="8" t="s">
        <v>13</v>
      </c>
      <c r="E117" s="9">
        <v>1146646.3800000001</v>
      </c>
      <c r="F117" s="10">
        <v>-0.2353968556904214</v>
      </c>
    </row>
    <row r="118" spans="1:6" x14ac:dyDescent="0.3">
      <c r="A118" s="4" t="s">
        <v>49</v>
      </c>
      <c r="B118" s="5">
        <v>1443498.6299999997</v>
      </c>
      <c r="D118" s="8" t="s">
        <v>57</v>
      </c>
      <c r="E118" s="9">
        <v>1233217.3700000001</v>
      </c>
      <c r="F118" s="10">
        <v>7.5499292118290193E-2</v>
      </c>
    </row>
    <row r="119" spans="1:6" x14ac:dyDescent="0.3">
      <c r="A119" s="4" t="s">
        <v>44</v>
      </c>
      <c r="B119" s="5">
        <v>1327316.2500000002</v>
      </c>
      <c r="D119" s="8" t="s">
        <v>95</v>
      </c>
      <c r="E119" s="9">
        <v>947650.71999999986</v>
      </c>
      <c r="F119" s="10">
        <v>-0.23156229951577817</v>
      </c>
    </row>
    <row r="120" spans="1:6" x14ac:dyDescent="0.3">
      <c r="A120" s="4" t="s">
        <v>1237</v>
      </c>
      <c r="B120" s="5">
        <v>15437590.229999999</v>
      </c>
      <c r="E120" s="5"/>
      <c r="F120" s="7"/>
    </row>
    <row r="129" spans="1:2" x14ac:dyDescent="0.3">
      <c r="A129" s="3" t="s">
        <v>1236</v>
      </c>
      <c r="B129" t="s">
        <v>1238</v>
      </c>
    </row>
    <row r="130" spans="1:2" x14ac:dyDescent="0.3">
      <c r="A130" s="4" t="s">
        <v>59</v>
      </c>
      <c r="B130" s="5">
        <v>247129.81999999998</v>
      </c>
    </row>
    <row r="131" spans="1:2" x14ac:dyDescent="0.3">
      <c r="A131" s="4" t="s">
        <v>351</v>
      </c>
      <c r="B131" s="5">
        <v>250699.78</v>
      </c>
    </row>
    <row r="132" spans="1:2" x14ac:dyDescent="0.3">
      <c r="A132" s="4" t="s">
        <v>204</v>
      </c>
      <c r="B132" s="5">
        <v>254895.7</v>
      </c>
    </row>
    <row r="133" spans="1:2" x14ac:dyDescent="0.3">
      <c r="A133" s="4" t="s">
        <v>84</v>
      </c>
      <c r="B133" s="5">
        <v>258667.94</v>
      </c>
    </row>
    <row r="134" spans="1:2" x14ac:dyDescent="0.3">
      <c r="A134" s="4" t="s">
        <v>619</v>
      </c>
      <c r="B134" s="5">
        <v>268802.26999999996</v>
      </c>
    </row>
    <row r="135" spans="1:2" x14ac:dyDescent="0.3">
      <c r="A135" s="4" t="s">
        <v>261</v>
      </c>
      <c r="B135" s="5">
        <v>271938.99000000005</v>
      </c>
    </row>
    <row r="136" spans="1:2" x14ac:dyDescent="0.3">
      <c r="A136" s="4" t="s">
        <v>268</v>
      </c>
      <c r="B136" s="5">
        <v>275033.84000000003</v>
      </c>
    </row>
    <row r="137" spans="1:2" x14ac:dyDescent="0.3">
      <c r="A137" s="4" t="s">
        <v>103</v>
      </c>
      <c r="B137" s="5">
        <v>300927.31</v>
      </c>
    </row>
    <row r="138" spans="1:2" x14ac:dyDescent="0.3">
      <c r="A138" s="4" t="s">
        <v>331</v>
      </c>
      <c r="B138" s="5">
        <v>301999.82</v>
      </c>
    </row>
    <row r="139" spans="1:2" x14ac:dyDescent="0.3">
      <c r="A139" s="4" t="s">
        <v>174</v>
      </c>
      <c r="B139" s="5">
        <v>381304.39</v>
      </c>
    </row>
    <row r="140" spans="1:2" x14ac:dyDescent="0.3">
      <c r="A140" s="4" t="s">
        <v>1237</v>
      </c>
      <c r="B140" s="5">
        <v>2811399.86</v>
      </c>
    </row>
    <row r="150" spans="1:6" x14ac:dyDescent="0.3">
      <c r="A150" s="3" t="s">
        <v>1236</v>
      </c>
      <c r="B150" t="s">
        <v>1238</v>
      </c>
      <c r="D150" s="8" t="s">
        <v>1236</v>
      </c>
      <c r="E150" s="8" t="s">
        <v>1238</v>
      </c>
      <c r="F150" s="8" t="s">
        <v>1244</v>
      </c>
    </row>
    <row r="151" spans="1:6" x14ac:dyDescent="0.3">
      <c r="A151" s="4" t="s">
        <v>28</v>
      </c>
      <c r="B151" s="5">
        <v>7344040.1499999976</v>
      </c>
      <c r="D151" s="8" t="s">
        <v>28</v>
      </c>
      <c r="E151" s="9">
        <v>7344040.1499999976</v>
      </c>
      <c r="F151" s="10">
        <v>0.28463517498471635</v>
      </c>
    </row>
    <row r="152" spans="1:6" x14ac:dyDescent="0.3">
      <c r="A152" s="4" t="s">
        <v>32</v>
      </c>
      <c r="B152" s="5">
        <v>5527206.8199999994</v>
      </c>
      <c r="D152" s="8" t="s">
        <v>32</v>
      </c>
      <c r="E152" s="9">
        <v>5527206.8199999994</v>
      </c>
      <c r="F152" s="10">
        <v>0.21421961866417874</v>
      </c>
    </row>
    <row r="153" spans="1:6" x14ac:dyDescent="0.3">
      <c r="A153" s="4" t="s">
        <v>19</v>
      </c>
      <c r="B153" s="5">
        <v>6441065.9799999995</v>
      </c>
      <c r="D153" s="8" t="s">
        <v>19</v>
      </c>
      <c r="E153" s="9">
        <v>6441065.9799999995</v>
      </c>
      <c r="F153" s="10">
        <v>0.24963833324160192</v>
      </c>
    </row>
    <row r="154" spans="1:6" x14ac:dyDescent="0.3">
      <c r="A154" s="4" t="s">
        <v>14</v>
      </c>
      <c r="B154" s="5">
        <v>6489277.2799999993</v>
      </c>
      <c r="D154" s="8" t="s">
        <v>14</v>
      </c>
      <c r="E154" s="9">
        <v>6489277.2799999993</v>
      </c>
      <c r="F154" s="10">
        <v>0.25150687310950293</v>
      </c>
    </row>
    <row r="155" spans="1:6" x14ac:dyDescent="0.3">
      <c r="A155" s="4" t="s">
        <v>1237</v>
      </c>
      <c r="B155" s="5">
        <v>25801590.229999997</v>
      </c>
    </row>
    <row r="167" spans="1:6" x14ac:dyDescent="0.3">
      <c r="A167" s="3" t="s">
        <v>1236</v>
      </c>
      <c r="B167" t="s">
        <v>1239</v>
      </c>
      <c r="D167" s="8" t="s">
        <v>1236</v>
      </c>
      <c r="E167" s="8" t="s">
        <v>1239</v>
      </c>
      <c r="F167" s="8" t="s">
        <v>1245</v>
      </c>
    </row>
    <row r="168" spans="1:6" x14ac:dyDescent="0.3">
      <c r="A168" s="4" t="s">
        <v>64</v>
      </c>
      <c r="B168" s="5">
        <v>4666660.2899999982</v>
      </c>
      <c r="D168" s="8" t="s">
        <v>64</v>
      </c>
      <c r="E168" s="11">
        <v>4666660.2899999982</v>
      </c>
      <c r="F168" s="10">
        <f>E168/GETPIVOTDATA("profit",$A$167)</f>
        <v>0.30229201711360609</v>
      </c>
    </row>
    <row r="169" spans="1:6" x14ac:dyDescent="0.3">
      <c r="A169" s="4" t="s">
        <v>40</v>
      </c>
      <c r="B169" s="5">
        <v>4372111.870000001</v>
      </c>
      <c r="D169" s="8" t="s">
        <v>40</v>
      </c>
      <c r="E169" s="11">
        <v>4372111.870000001</v>
      </c>
      <c r="F169" s="10">
        <f t="shared" ref="F169:F171" si="0">E169/GETPIVOTDATA("profit",$A$167)</f>
        <v>0.28321206903805746</v>
      </c>
    </row>
    <row r="170" spans="1:6" x14ac:dyDescent="0.3">
      <c r="A170" s="4" t="s">
        <v>17</v>
      </c>
      <c r="B170" s="5">
        <v>3106026.43</v>
      </c>
      <c r="D170" s="8" t="s">
        <v>17</v>
      </c>
      <c r="E170" s="11">
        <v>3106026.43</v>
      </c>
      <c r="F170" s="10">
        <f t="shared" si="0"/>
        <v>0.20119891665242112</v>
      </c>
    </row>
    <row r="171" spans="1:6" x14ac:dyDescent="0.3">
      <c r="A171" s="4" t="s">
        <v>12</v>
      </c>
      <c r="B171" s="5">
        <v>3292791.6399999983</v>
      </c>
      <c r="D171" s="8" t="s">
        <v>12</v>
      </c>
      <c r="E171" s="11">
        <v>3292791.6399999983</v>
      </c>
      <c r="F171" s="10">
        <f t="shared" si="0"/>
        <v>0.21329699719591524</v>
      </c>
    </row>
    <row r="172" spans="1:6" x14ac:dyDescent="0.3">
      <c r="A172" s="4" t="s">
        <v>1237</v>
      </c>
      <c r="B172" s="5">
        <v>15437590.229999999</v>
      </c>
    </row>
  </sheetData>
  <mergeCells count="6">
    <mergeCell ref="C2:D2"/>
    <mergeCell ref="C3:D3"/>
    <mergeCell ref="C4:D4"/>
    <mergeCell ref="C5:D5"/>
    <mergeCell ref="C6:D6"/>
    <mergeCell ref="C7:D7"/>
  </mergeCell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MIS_KPI_Summary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Somesh rapolu</dc:creator>
  <cp:lastModifiedBy>Somesh rapolu</cp:lastModifiedBy>
  <dcterms:created xsi:type="dcterms:W3CDTF">2026-02-23T10:54:56Z</dcterms:created>
  <dcterms:modified xsi:type="dcterms:W3CDTF">2026-02-23T13:14:00Z</dcterms:modified>
</cp:coreProperties>
</file>